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ESARA\Desktop\"/>
    </mc:Choice>
  </mc:AlternateContent>
  <xr:revisionPtr revIDLastSave="0" documentId="13_ncr:1_{FF6A4D7D-EDCA-4FAD-BF1B-04C06056E67C}" xr6:coauthVersionLast="47" xr6:coauthVersionMax="47" xr10:uidLastSave="{00000000-0000-0000-0000-000000000000}"/>
  <bookViews>
    <workbookView xWindow="-108" yWindow="-108" windowWidth="23256" windowHeight="12720" activeTab="2" xr2:uid="{D19461EE-80B4-45F9-9147-A70E24104D77}"/>
  </bookViews>
  <sheets>
    <sheet name="Sheet2" sheetId="2" r:id="rId1"/>
    <sheet name="Student Data" sheetId="1" r:id="rId2"/>
    <sheet name="DashBoard" sheetId="14" r:id="rId3"/>
  </sheets>
  <definedNames>
    <definedName name="_xlnm.Print_Area" localSheetId="2">DashBoard!$A$1:$K$17</definedName>
  </definedNames>
  <calcPr calcId="18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K6" i="1"/>
  <c r="K7" i="1"/>
  <c r="K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K9" i="1" l="1"/>
</calcChain>
</file>

<file path=xl/sharedStrings.xml><?xml version="1.0" encoding="utf-8"?>
<sst xmlns="http://schemas.openxmlformats.org/spreadsheetml/2006/main" count="841" uniqueCount="386">
  <si>
    <t>Student ID</t>
  </si>
  <si>
    <t>Student Name</t>
  </si>
  <si>
    <t>Gender</t>
  </si>
  <si>
    <t>Age</t>
  </si>
  <si>
    <t>Subject</t>
  </si>
  <si>
    <t>Exam Score</t>
  </si>
  <si>
    <t>Attendance %</t>
  </si>
  <si>
    <t>S001</t>
  </si>
  <si>
    <t>Nimal Fernando</t>
  </si>
  <si>
    <t>Male</t>
  </si>
  <si>
    <t>Science</t>
  </si>
  <si>
    <t>S002</t>
  </si>
  <si>
    <t>Tharindu Gunawardena</t>
  </si>
  <si>
    <t>English</t>
  </si>
  <si>
    <t>S003</t>
  </si>
  <si>
    <t>Upeksha Karunaratne</t>
  </si>
  <si>
    <t>Female</t>
  </si>
  <si>
    <t>Maths</t>
  </si>
  <si>
    <t>S004</t>
  </si>
  <si>
    <t>Sachintha Perera</t>
  </si>
  <si>
    <t>S005</t>
  </si>
  <si>
    <t>Thilina Perera</t>
  </si>
  <si>
    <t>S006</t>
  </si>
  <si>
    <t>Akila Gunawardena</t>
  </si>
  <si>
    <t>ICT</t>
  </si>
  <si>
    <t>S007</t>
  </si>
  <si>
    <t>Harshani Wijesinghe</t>
  </si>
  <si>
    <t>S008</t>
  </si>
  <si>
    <t>Sachini Fernando</t>
  </si>
  <si>
    <t>S009</t>
  </si>
  <si>
    <t>Chamara Silva</t>
  </si>
  <si>
    <t>S010</t>
  </si>
  <si>
    <t>Thilina Fernando</t>
  </si>
  <si>
    <t>S011</t>
  </si>
  <si>
    <t>Anjali Fernando</t>
  </si>
  <si>
    <t>S012</t>
  </si>
  <si>
    <t>Dilani Jayasuriya</t>
  </si>
  <si>
    <t>S013</t>
  </si>
  <si>
    <t>Imesha Silva</t>
  </si>
  <si>
    <t>S014</t>
  </si>
  <si>
    <t>Malith Senanayake</t>
  </si>
  <si>
    <t>S015</t>
  </si>
  <si>
    <t>Tharindu Karunaratne</t>
  </si>
  <si>
    <t>S016</t>
  </si>
  <si>
    <t>Nadeesha Bandara</t>
  </si>
  <si>
    <t>S017</t>
  </si>
  <si>
    <t>Ayesha Fernando</t>
  </si>
  <si>
    <t>S018</t>
  </si>
  <si>
    <t>Gayan Ranasinghe</t>
  </si>
  <si>
    <t>S019</t>
  </si>
  <si>
    <t>Dinithi Senanayake</t>
  </si>
  <si>
    <t>S020</t>
  </si>
  <si>
    <t>Madushi Gunawardena</t>
  </si>
  <si>
    <t>S021</t>
  </si>
  <si>
    <t>Pramod Silva</t>
  </si>
  <si>
    <t>S022</t>
  </si>
  <si>
    <t>Sanduni Perera</t>
  </si>
  <si>
    <t>S023</t>
  </si>
  <si>
    <t>Nimal Ranasinghe</t>
  </si>
  <si>
    <t>S024</t>
  </si>
  <si>
    <t>Tharindu Wijesinghe</t>
  </si>
  <si>
    <t>S025</t>
  </si>
  <si>
    <t>Upeksha Fernando</t>
  </si>
  <si>
    <t>S026</t>
  </si>
  <si>
    <t>Janith Bandara</t>
  </si>
  <si>
    <t>S027</t>
  </si>
  <si>
    <t>Kavindu Senanayake</t>
  </si>
  <si>
    <t>S028</t>
  </si>
  <si>
    <t>Sanduni Silva</t>
  </si>
  <si>
    <t>S029</t>
  </si>
  <si>
    <t>Chamara Wijesinghe</t>
  </si>
  <si>
    <t>S030</t>
  </si>
  <si>
    <t>Dilan Wijesinghe</t>
  </si>
  <si>
    <t>S031</t>
  </si>
  <si>
    <t>Kasun Bandara</t>
  </si>
  <si>
    <t>S032</t>
  </si>
  <si>
    <t>Hansani Silva</t>
  </si>
  <si>
    <t>S033</t>
  </si>
  <si>
    <t>Nimal Jayasuriya</t>
  </si>
  <si>
    <t>S034</t>
  </si>
  <si>
    <t>Upeksha Ranasinghe</t>
  </si>
  <si>
    <t>S035</t>
  </si>
  <si>
    <t>Ravindu Ranasinghe</t>
  </si>
  <si>
    <t>S036</t>
  </si>
  <si>
    <t>Nethmi Perera</t>
  </si>
  <si>
    <t>S037</t>
  </si>
  <si>
    <t>Upeksha Silva</t>
  </si>
  <si>
    <t>S038</t>
  </si>
  <si>
    <t>Malith Gunawardena</t>
  </si>
  <si>
    <t>S039</t>
  </si>
  <si>
    <t>Kasun Gunawardena</t>
  </si>
  <si>
    <t>S040</t>
  </si>
  <si>
    <t>Kasuni Silva</t>
  </si>
  <si>
    <t>S041</t>
  </si>
  <si>
    <t>Nethmi Ranasinghe</t>
  </si>
  <si>
    <t>S042</t>
  </si>
  <si>
    <t>Yasasvi Karunaratne</t>
  </si>
  <si>
    <t>S043</t>
  </si>
  <si>
    <t>Lakshan Bandara</t>
  </si>
  <si>
    <t>S044</t>
  </si>
  <si>
    <t>Isuru Karunaratne</t>
  </si>
  <si>
    <t>S045</t>
  </si>
  <si>
    <t>Nuwan Fernando</t>
  </si>
  <si>
    <t>S046</t>
  </si>
  <si>
    <t>Lakshan Silva</t>
  </si>
  <si>
    <t>S047</t>
  </si>
  <si>
    <t>S048</t>
  </si>
  <si>
    <t>Dilan Perera</t>
  </si>
  <si>
    <t>S049</t>
  </si>
  <si>
    <t>Dilani Senanayake</t>
  </si>
  <si>
    <t>S050</t>
  </si>
  <si>
    <t>Gayan Senanayake</t>
  </si>
  <si>
    <t>S051</t>
  </si>
  <si>
    <t>Madushi Fernando</t>
  </si>
  <si>
    <t>S052</t>
  </si>
  <si>
    <t>Nimal Silva</t>
  </si>
  <si>
    <t>S053</t>
  </si>
  <si>
    <t>Upeksha Jayasuriya</t>
  </si>
  <si>
    <t>S054</t>
  </si>
  <si>
    <t>Charith Perera</t>
  </si>
  <si>
    <t>S055</t>
  </si>
  <si>
    <t>Shenali Gunawardena</t>
  </si>
  <si>
    <t>S056</t>
  </si>
  <si>
    <t>S057</t>
  </si>
  <si>
    <t>Sanduni Senanayake</t>
  </si>
  <si>
    <t>S058</t>
  </si>
  <si>
    <t>Dilan Fernando</t>
  </si>
  <si>
    <t>S059</t>
  </si>
  <si>
    <t>S060</t>
  </si>
  <si>
    <t>S061</t>
  </si>
  <si>
    <t>Ayesha Karunaratne</t>
  </si>
  <si>
    <t>S062</t>
  </si>
  <si>
    <t>Chamara Fernando</t>
  </si>
  <si>
    <t>S063</t>
  </si>
  <si>
    <t>Isuru Perera</t>
  </si>
  <si>
    <t>S064</t>
  </si>
  <si>
    <t>Tharindu Fernando</t>
  </si>
  <si>
    <t>S065</t>
  </si>
  <si>
    <t>Janith Perera</t>
  </si>
  <si>
    <t>S066</t>
  </si>
  <si>
    <t>Kasuni Jayasuriya</t>
  </si>
  <si>
    <t>S067</t>
  </si>
  <si>
    <t>Thilina Silva</t>
  </si>
  <si>
    <t>S068</t>
  </si>
  <si>
    <t>Hansani Gunawardena</t>
  </si>
  <si>
    <t>S069</t>
  </si>
  <si>
    <t>Dilan Silva</t>
  </si>
  <si>
    <t>S070</t>
  </si>
  <si>
    <t>S071</t>
  </si>
  <si>
    <t>Sanduni Wijesinghe</t>
  </si>
  <si>
    <t>S072</t>
  </si>
  <si>
    <t>S073</t>
  </si>
  <si>
    <t>S074</t>
  </si>
  <si>
    <t>Harshani Perera</t>
  </si>
  <si>
    <t>S075</t>
  </si>
  <si>
    <t>Harshani Silva</t>
  </si>
  <si>
    <t>S076</t>
  </si>
  <si>
    <t>Anjali Gunawardena</t>
  </si>
  <si>
    <t>S077</t>
  </si>
  <si>
    <t>Sahan Ranasinghe</t>
  </si>
  <si>
    <t>S078</t>
  </si>
  <si>
    <t>Sanduni Gunawardena</t>
  </si>
  <si>
    <t>S079</t>
  </si>
  <si>
    <t>Madushi Jayasuriya</t>
  </si>
  <si>
    <t>S080</t>
  </si>
  <si>
    <t>Nuwan Ranasinghe</t>
  </si>
  <si>
    <t>S081</t>
  </si>
  <si>
    <t>S082</t>
  </si>
  <si>
    <t>S083</t>
  </si>
  <si>
    <t>Anjali Ranasinghe</t>
  </si>
  <si>
    <t>S084</t>
  </si>
  <si>
    <t>Yasasvi Fernando</t>
  </si>
  <si>
    <t>S085</t>
  </si>
  <si>
    <t>Dilan Ranasinghe</t>
  </si>
  <si>
    <t>S086</t>
  </si>
  <si>
    <t>Akila Karunaratne</t>
  </si>
  <si>
    <t>S087</t>
  </si>
  <si>
    <t>S088</t>
  </si>
  <si>
    <t>S089</t>
  </si>
  <si>
    <t>Ayesha Silva</t>
  </si>
  <si>
    <t>S090</t>
  </si>
  <si>
    <t>Ayesha Wijesinghe</t>
  </si>
  <si>
    <t>S091</t>
  </si>
  <si>
    <t>Nadeesha Senanayake</t>
  </si>
  <si>
    <t>S092</t>
  </si>
  <si>
    <t>Kasun Senanayake</t>
  </si>
  <si>
    <t>S093</t>
  </si>
  <si>
    <t>Dinithi Fernando</t>
  </si>
  <si>
    <t>S094</t>
  </si>
  <si>
    <t>S095</t>
  </si>
  <si>
    <t>Tharushi Bandara</t>
  </si>
  <si>
    <t>S096</t>
  </si>
  <si>
    <t>S097</t>
  </si>
  <si>
    <t>Nadeesha Silva</t>
  </si>
  <si>
    <t>S098</t>
  </si>
  <si>
    <t>Nisansala Ranasinghe</t>
  </si>
  <si>
    <t>S099</t>
  </si>
  <si>
    <t>S100</t>
  </si>
  <si>
    <t>Sachintha Bandara</t>
  </si>
  <si>
    <t>S101</t>
  </si>
  <si>
    <t>Anjali Bandara</t>
  </si>
  <si>
    <t>S102</t>
  </si>
  <si>
    <t>Gayan Fernando</t>
  </si>
  <si>
    <t>S103</t>
  </si>
  <si>
    <t>Dinuka Karunaratne</t>
  </si>
  <si>
    <t>S104</t>
  </si>
  <si>
    <t>Kasun Karunaratne</t>
  </si>
  <si>
    <t>S105</t>
  </si>
  <si>
    <t>Sachintha Silva</t>
  </si>
  <si>
    <t>S106</t>
  </si>
  <si>
    <t>Charith Gunawardena</t>
  </si>
  <si>
    <t>S107</t>
  </si>
  <si>
    <t>Shenali Senanayake</t>
  </si>
  <si>
    <t>S108</t>
  </si>
  <si>
    <t>S109</t>
  </si>
  <si>
    <t>Imesha Senanayake</t>
  </si>
  <si>
    <t>S110</t>
  </si>
  <si>
    <t>Shenali Bandara</t>
  </si>
  <si>
    <t>S111</t>
  </si>
  <si>
    <t>Madushi Bandara</t>
  </si>
  <si>
    <t>S112</t>
  </si>
  <si>
    <t>S113</t>
  </si>
  <si>
    <t>S114</t>
  </si>
  <si>
    <t>S115</t>
  </si>
  <si>
    <t>S116</t>
  </si>
  <si>
    <t>Tharindu Perera</t>
  </si>
  <si>
    <t>S117</t>
  </si>
  <si>
    <t>Dinuka Senanayake</t>
  </si>
  <si>
    <t>S118</t>
  </si>
  <si>
    <t>Kasuni Senanayake</t>
  </si>
  <si>
    <t>S119</t>
  </si>
  <si>
    <t>Imesha Perera</t>
  </si>
  <si>
    <t>S120</t>
  </si>
  <si>
    <t>Kavindu Fernando</t>
  </si>
  <si>
    <t>S121</t>
  </si>
  <si>
    <t>Dilan Senanayake</t>
  </si>
  <si>
    <t>S122</t>
  </si>
  <si>
    <t>Sanduni Bandara</t>
  </si>
  <si>
    <t>S123</t>
  </si>
  <si>
    <t>Sahan Silva</t>
  </si>
  <si>
    <t>S124</t>
  </si>
  <si>
    <t>Dilani Perera</t>
  </si>
  <si>
    <t>S125</t>
  </si>
  <si>
    <t>Gayan Karunaratne</t>
  </si>
  <si>
    <t>S126</t>
  </si>
  <si>
    <t>Hansani Senanayake</t>
  </si>
  <si>
    <t>S127</t>
  </si>
  <si>
    <t>Ravindu Bandara</t>
  </si>
  <si>
    <t>S128</t>
  </si>
  <si>
    <t>S129</t>
  </si>
  <si>
    <t>Sahan Perera</t>
  </si>
  <si>
    <t>S130</t>
  </si>
  <si>
    <t>Sachini Perera</t>
  </si>
  <si>
    <t>S131</t>
  </si>
  <si>
    <t>Tharushi Senanayake</t>
  </si>
  <si>
    <t>S132</t>
  </si>
  <si>
    <t>Tharindu Silva</t>
  </si>
  <si>
    <t>S133</t>
  </si>
  <si>
    <t>S134</t>
  </si>
  <si>
    <t>S135</t>
  </si>
  <si>
    <t>Madushi Silva</t>
  </si>
  <si>
    <t>S136</t>
  </si>
  <si>
    <t>Sachintha Wijesinghe</t>
  </si>
  <si>
    <t>S137</t>
  </si>
  <si>
    <t>S138</t>
  </si>
  <si>
    <t>Upeksha Senanayake</t>
  </si>
  <si>
    <t>S139</t>
  </si>
  <si>
    <t>S140</t>
  </si>
  <si>
    <t>Madushi Ranasinghe</t>
  </si>
  <si>
    <t>S141</t>
  </si>
  <si>
    <t>Pramod Perera</t>
  </si>
  <si>
    <t>S142</t>
  </si>
  <si>
    <t>Madushi Perera</t>
  </si>
  <si>
    <t>S143</t>
  </si>
  <si>
    <t>S144</t>
  </si>
  <si>
    <t>S145</t>
  </si>
  <si>
    <t>S146</t>
  </si>
  <si>
    <t>Nethmi Silva</t>
  </si>
  <si>
    <t>S147</t>
  </si>
  <si>
    <t>Yasasvi Ranasinghe</t>
  </si>
  <si>
    <t>S148</t>
  </si>
  <si>
    <t>S149</t>
  </si>
  <si>
    <t>Anjali Silva</t>
  </si>
  <si>
    <t>S150</t>
  </si>
  <si>
    <t>Nuwan Gunawardena</t>
  </si>
  <si>
    <t>S151</t>
  </si>
  <si>
    <t>S152</t>
  </si>
  <si>
    <t>S153</t>
  </si>
  <si>
    <t>Ravindu Karunaratne</t>
  </si>
  <si>
    <t>S154</t>
  </si>
  <si>
    <t>Piumi Karunaratne</t>
  </si>
  <si>
    <t>S155</t>
  </si>
  <si>
    <t>S156</t>
  </si>
  <si>
    <t>Tharindu Ranasinghe</t>
  </si>
  <si>
    <t>S157</t>
  </si>
  <si>
    <t>Kavindu Silva</t>
  </si>
  <si>
    <t>S158</t>
  </si>
  <si>
    <t>Ayesha Ranasinghe</t>
  </si>
  <si>
    <t>S159</t>
  </si>
  <si>
    <t>S160</t>
  </si>
  <si>
    <t>S161</t>
  </si>
  <si>
    <t>Imesha Wijesinghe</t>
  </si>
  <si>
    <t>S162</t>
  </si>
  <si>
    <t>Akila Fernando</t>
  </si>
  <si>
    <t>S163</t>
  </si>
  <si>
    <t>Pramod Gunawardena</t>
  </si>
  <si>
    <t>S164</t>
  </si>
  <si>
    <t>S165</t>
  </si>
  <si>
    <t>Nadeesha Perera</t>
  </si>
  <si>
    <t>S166</t>
  </si>
  <si>
    <t>Kavindu Wijesinghe</t>
  </si>
  <si>
    <t>S167</t>
  </si>
  <si>
    <t>Piumi Silva</t>
  </si>
  <si>
    <t>S168</t>
  </si>
  <si>
    <t>Sahan Gunawardena</t>
  </si>
  <si>
    <t>S169</t>
  </si>
  <si>
    <t>Kavindu Bandara</t>
  </si>
  <si>
    <t>S170</t>
  </si>
  <si>
    <t>Isuru Bandara</t>
  </si>
  <si>
    <t>S171</t>
  </si>
  <si>
    <t>S172</t>
  </si>
  <si>
    <t>Kavindu Karunaratne</t>
  </si>
  <si>
    <t>S173</t>
  </si>
  <si>
    <t>Charith Silva</t>
  </si>
  <si>
    <t>S174</t>
  </si>
  <si>
    <t>Dinuka Jayasuriya</t>
  </si>
  <si>
    <t>S175</t>
  </si>
  <si>
    <t>S176</t>
  </si>
  <si>
    <t>Thilina Karunaratne</t>
  </si>
  <si>
    <t>S177</t>
  </si>
  <si>
    <t>Chamara Perera</t>
  </si>
  <si>
    <t>S178</t>
  </si>
  <si>
    <t>S179</t>
  </si>
  <si>
    <t>S180</t>
  </si>
  <si>
    <t>Ravindu Perera</t>
  </si>
  <si>
    <t>S181</t>
  </si>
  <si>
    <t>S182</t>
  </si>
  <si>
    <t>Janith Fernando</t>
  </si>
  <si>
    <t>S183</t>
  </si>
  <si>
    <t>Sachini Jayasuriya</t>
  </si>
  <si>
    <t>S184</t>
  </si>
  <si>
    <t>Sahan Senanayake</t>
  </si>
  <si>
    <t>S185</t>
  </si>
  <si>
    <t>S186</t>
  </si>
  <si>
    <t>Gayan Silva</t>
  </si>
  <si>
    <t>S187</t>
  </si>
  <si>
    <t>Piumi Senanayake</t>
  </si>
  <si>
    <t>S188</t>
  </si>
  <si>
    <t>Dinithi Silva</t>
  </si>
  <si>
    <t>S189</t>
  </si>
  <si>
    <t>Nethmi Wijesinghe</t>
  </si>
  <si>
    <t>S190</t>
  </si>
  <si>
    <t>Charith Wijesinghe</t>
  </si>
  <si>
    <t>S191</t>
  </si>
  <si>
    <t>Anjali Perera</t>
  </si>
  <si>
    <t>S192</t>
  </si>
  <si>
    <t>Yasasvi Perera</t>
  </si>
  <si>
    <t>S193</t>
  </si>
  <si>
    <t>Lakshan Perera</t>
  </si>
  <si>
    <t>S194</t>
  </si>
  <si>
    <t>S195</t>
  </si>
  <si>
    <t>S196</t>
  </si>
  <si>
    <t>Sachini Karunaratne</t>
  </si>
  <si>
    <t>S197</t>
  </si>
  <si>
    <t>Nadeesha Wijesinghe</t>
  </si>
  <si>
    <t>S198</t>
  </si>
  <si>
    <t>S199</t>
  </si>
  <si>
    <t>Kavindu Jayasuriya</t>
  </si>
  <si>
    <t>S200</t>
  </si>
  <si>
    <t>Nethmi Karunaratne</t>
  </si>
  <si>
    <t>Grade</t>
  </si>
  <si>
    <t>Average Score</t>
  </si>
  <si>
    <t>Highest Score</t>
  </si>
  <si>
    <t>Lowest Score</t>
  </si>
  <si>
    <t>Total Students</t>
  </si>
  <si>
    <t>Pass Students Count</t>
  </si>
  <si>
    <t>Fail Students Count</t>
  </si>
  <si>
    <t>74%</t>
  </si>
  <si>
    <t>Grand Total</t>
  </si>
  <si>
    <t>Subjects</t>
  </si>
  <si>
    <t>(All)</t>
  </si>
  <si>
    <t>KPI</t>
  </si>
  <si>
    <t>Value</t>
  </si>
  <si>
    <t>Average Score by Subject</t>
  </si>
  <si>
    <t>Student Performance Analysis Dashboard</t>
  </si>
  <si>
    <t>Average Score by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</si>
</sst>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9" fontId="0" fillId="0" borderId="0" xfId="1" applyFont="1" applyAlignment="1">
      <alignment horizontal="right"/>
    </xf>
    <xf numFmtId="0" fontId="3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9" fontId="2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Dashboard.xlsx]Sheet2!PivotTable1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Sheet2!$A$5:$A$9</c:f>
              <c:strCache>
                <c:ptCount val="4"/>
                <c:pt idx="0">
                  <c:v>English</c:v>
                </c:pt>
                <c:pt idx="1">
                  <c:v>ICT</c:v>
                </c:pt>
                <c:pt idx="2">
                  <c:v>Maths</c:v>
                </c:pt>
                <c:pt idx="3">
                  <c:v>Science</c:v>
                </c:pt>
              </c:strCache>
            </c:strRef>
          </c:cat>
          <c:val>
            <c:numRef>
              <c:f>Sheet2!$B$5:$B$9</c:f>
              <c:numCache>
                <c:formatCode>0.00</c:formatCode>
                <c:ptCount val="4"/>
                <c:pt idx="0">
                  <c:v>75.265625</c:v>
                </c:pt>
                <c:pt idx="1">
                  <c:v>71.978260869565219</c:v>
                </c:pt>
                <c:pt idx="2">
                  <c:v>73.181818181818187</c:v>
                </c:pt>
                <c:pt idx="3">
                  <c:v>73.457142857142856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3-425E-8E13-A98881393D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1119792"/>
        <c:axId val="1341116432"/>
      </c:barChart>
      <c:catAx>
        <c:axId val="134111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116432"/>
        <c:crosses val="autoZero"/>
        <c:auto val="1"/>
        <c:lblAlgn val="ctr"/>
        <c:lblOffset val="100"/>
        <c:noMultiLvlLbl val="0"/>
      </c:catAx>
      <c:valAx>
        <c:axId val="13411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11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Dashboard.xlsx]Sheet2!PivotTable1</c:name>
    <c:fmtId val="16"/>
  </c:pivotSource>
  <c:chart>
    <c:autoTitleDeleted val="1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Sheet2!$A$5:$A$9</c:f>
              <c:strCache>
                <c:ptCount val="4"/>
                <c:pt idx="0">
                  <c:v>English</c:v>
                </c:pt>
                <c:pt idx="1">
                  <c:v>ICT</c:v>
                </c:pt>
                <c:pt idx="2">
                  <c:v>Maths</c:v>
                </c:pt>
                <c:pt idx="3">
                  <c:v>Science</c:v>
                </c:pt>
              </c:strCache>
            </c:strRef>
          </c:cat>
          <c:val>
            <c:numRef>
              <c:f>Sheet2!$B$5:$B$9</c:f>
              <c:numCache>
                <c:formatCode>0.00</c:formatCode>
                <c:ptCount val="4"/>
                <c:pt idx="0">
                  <c:v>75.265625</c:v>
                </c:pt>
                <c:pt idx="1">
                  <c:v>71.978260869565219</c:v>
                </c:pt>
                <c:pt idx="2">
                  <c:v>73.181818181818187</c:v>
                </c:pt>
                <c:pt idx="3">
                  <c:v>73.457142857142856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C-4639-8611-1A01783F4B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1119792"/>
        <c:axId val="1341116432"/>
      </c:barChart>
      <c:catAx>
        <c:axId val="134111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116432"/>
        <c:crosses val="autoZero"/>
        <c:auto val="1"/>
        <c:lblAlgn val="ctr"/>
        <c:lblOffset val="100"/>
        <c:noMultiLvlLbl val="0"/>
      </c:catAx>
      <c:valAx>
        <c:axId val="13411164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34111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Pass vs Fail 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6F-4AA2-BB40-883964F11B7A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E0855FFD-171A-4B00-960B-14990215601C}" type="PERCENTAGE">
                      <a:rPr lang="en-US" b="0"/>
                      <a:pPr/>
                      <a:t>[PERCENTAGE]</a:t>
                    </a:fld>
                    <a:endParaRPr lang="en-GB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B6F-4AA2-BB40-883964F11B7A}"/>
                </c:ext>
              </c:extLst>
            </c:dLbl>
            <c:numFmt formatCode="General" sourceLinked="0"/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'Student Data'!$J$8:$J$9</c:f>
              <c:strCache>
                <c:ptCount val="2"/>
                <c:pt idx="0">
                  <c:v>Pass Students Count</c:v>
                </c:pt>
                <c:pt idx="1">
                  <c:v>Fail Students Count</c:v>
                </c:pt>
              </c:strCache>
            </c:strRef>
          </c:cat>
          <c:val>
            <c:numRef>
              <c:f>'Student Data'!$K$8:$K$9</c:f>
              <c:numCache>
                <c:formatCode>General</c:formatCode>
                <c:ptCount val="2"/>
                <c:pt idx="0">
                  <c:v>96</c:v>
                </c:pt>
                <c:pt idx="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F-4AA2-BB40-883964F11B7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Dashboard.xlsx]Sheet2!PivotTable1</c:name>
    <c:fmtId val="20"/>
  </c:pivotSource>
  <c:chart>
    <c:autoTitleDeleted val="1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Sheet2!$A$5:$A$9</c:f>
              <c:strCache>
                <c:ptCount val="4"/>
                <c:pt idx="0">
                  <c:v>English</c:v>
                </c:pt>
                <c:pt idx="1">
                  <c:v>ICT</c:v>
                </c:pt>
                <c:pt idx="2">
                  <c:v>Maths</c:v>
                </c:pt>
                <c:pt idx="3">
                  <c:v>Science</c:v>
                </c:pt>
              </c:strCache>
            </c:strRef>
          </c:cat>
          <c:val>
            <c:numRef>
              <c:f>Sheet2!$B$5:$B$9</c:f>
              <c:numCache>
                <c:formatCode>0.00</c:formatCode>
                <c:ptCount val="4"/>
                <c:pt idx="0">
                  <c:v>75.265625</c:v>
                </c:pt>
                <c:pt idx="1">
                  <c:v>71.978260869565219</c:v>
                </c:pt>
                <c:pt idx="2">
                  <c:v>73.181818181818187</c:v>
                </c:pt>
                <c:pt idx="3">
                  <c:v>73.457142857142856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F-445A-BEAD-48AD5F28A2E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1119792"/>
        <c:axId val="1341116432"/>
      </c:barChart>
      <c:catAx>
        <c:axId val="134111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116432"/>
        <c:crosses val="autoZero"/>
        <c:auto val="1"/>
        <c:lblAlgn val="ctr"/>
        <c:lblOffset val="100"/>
        <c:noMultiLvlLbl val="0"/>
      </c:catAx>
      <c:valAx>
        <c:axId val="1341116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11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Pass vs Fail Pie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0A-4765-8343-705A86C3D34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0A-4765-8343-705A86C3D348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E0855FFD-171A-4B00-960B-14990215601C}" type="PERCENTAGE">
                      <a:rPr lang="en-US" b="0"/>
                      <a:pPr/>
                      <a:t>[PERCENTAGE]</a:t>
                    </a:fld>
                    <a:endParaRPr lang="en-GB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A0A-4765-8343-705A86C3D348}"/>
                </c:ext>
              </c:extLst>
            </c:dLbl>
            <c:numFmt formatCode="General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'Student Data'!$J$8:$J$9</c:f>
              <c:strCache>
                <c:ptCount val="2"/>
                <c:pt idx="0">
                  <c:v>Pass Students Count</c:v>
                </c:pt>
                <c:pt idx="1">
                  <c:v>Fail Students Count</c:v>
                </c:pt>
              </c:strCache>
            </c:strRef>
          </c:cat>
          <c:val>
            <c:numRef>
              <c:f>'Student Data'!$K$8:$K$9</c:f>
              <c:numCache>
                <c:formatCode>General</c:formatCode>
                <c:ptCount val="2"/>
                <c:pt idx="0">
                  <c:v>96</c:v>
                </c:pt>
                <c:pt idx="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0A-4765-8343-705A86C3D34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11430</xdr:rowOff>
    </xdr:from>
    <xdr:to>
      <xdr:col>10</xdr:col>
      <xdr:colOff>304800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F55DC-7DF4-D44B-9C3D-E1E8D5937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175261</xdr:rowOff>
    </xdr:from>
    <xdr:to>
      <xdr:col>18</xdr:col>
      <xdr:colOff>421341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989DF-0A84-4A97-B56F-AE8A523F9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605119</xdr:colOff>
      <xdr:row>14</xdr:row>
      <xdr:rowOff>143436</xdr:rowOff>
    </xdr:from>
    <xdr:to>
      <xdr:col>18</xdr:col>
      <xdr:colOff>412377</xdr:colOff>
      <xdr:row>27</xdr:row>
      <xdr:rowOff>143435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474367-A9DB-38F1-07BA-B1723A78A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43544</xdr:colOff>
      <xdr:row>4</xdr:row>
      <xdr:rowOff>3265</xdr:rowOff>
    </xdr:from>
    <xdr:to>
      <xdr:col>3</xdr:col>
      <xdr:colOff>584564</xdr:colOff>
      <xdr:row>15</xdr:row>
      <xdr:rowOff>125185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330F9-539B-404D-BC0E-FAA98F5F4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79465</xdr:colOff>
      <xdr:row>3</xdr:row>
      <xdr:rowOff>268878</xdr:rowOff>
    </xdr:from>
    <xdr:to>
      <xdr:col>10</xdr:col>
      <xdr:colOff>496323</xdr:colOff>
      <xdr:row>15</xdr:row>
      <xdr:rowOff>152591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8C3C13-DF8A-47B0-931A-D06205857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127199</xdr:colOff>
      <xdr:row>1</xdr:row>
      <xdr:rowOff>7619</xdr:rowOff>
    </xdr:from>
    <xdr:to>
      <xdr:col>0</xdr:col>
      <xdr:colOff>1230922</xdr:colOff>
      <xdr:row>3</xdr:row>
      <xdr:rowOff>216876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5077FB8-5469-7C3E-D6C0-CF6E771DC735}"/>
            </a:ext>
          </a:extLst>
        </xdr:cNvPr>
        <xdr:cNvSpPr/>
      </xdr:nvSpPr>
      <xdr:spPr>
        <a:xfrm>
          <a:off x="127199" y="441373"/>
          <a:ext cx="1103723" cy="643011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230364</xdr:colOff>
      <xdr:row>1</xdr:row>
      <xdr:rowOff>1757</xdr:rowOff>
    </xdr:from>
    <xdr:to>
      <xdr:col>1</xdr:col>
      <xdr:colOff>1260229</xdr:colOff>
      <xdr:row>3</xdr:row>
      <xdr:rowOff>211014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9FEE45F-EF58-4196-A9FF-CCCE04912AD9}"/>
            </a:ext>
          </a:extLst>
        </xdr:cNvPr>
        <xdr:cNvSpPr/>
      </xdr:nvSpPr>
      <xdr:spPr>
        <a:xfrm>
          <a:off x="1549210" y="435511"/>
          <a:ext cx="1029865" cy="643011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1572069</xdr:colOff>
      <xdr:row>0</xdr:row>
      <xdr:rowOff>429650</xdr:rowOff>
    </xdr:from>
    <xdr:to>
      <xdr:col>3</xdr:col>
      <xdr:colOff>345831</xdr:colOff>
      <xdr:row>3</xdr:row>
      <xdr:rowOff>205153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5DC9829-74E1-46DA-BF4C-6C1F6CC38785}"/>
            </a:ext>
          </a:extLst>
        </xdr:cNvPr>
        <xdr:cNvSpPr/>
      </xdr:nvSpPr>
      <xdr:spPr>
        <a:xfrm>
          <a:off x="2890915" y="429650"/>
          <a:ext cx="989424" cy="643011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84415</xdr:colOff>
      <xdr:row>1</xdr:row>
      <xdr:rowOff>5862</xdr:rowOff>
    </xdr:from>
    <xdr:to>
      <xdr:col>5</xdr:col>
      <xdr:colOff>492369</xdr:colOff>
      <xdr:row>3</xdr:row>
      <xdr:rowOff>193430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257A09D-6CE6-41E0-AEF7-33259A43D6FE}"/>
            </a:ext>
          </a:extLst>
        </xdr:cNvPr>
        <xdr:cNvSpPr/>
      </xdr:nvSpPr>
      <xdr:spPr>
        <a:xfrm>
          <a:off x="4228523" y="439616"/>
          <a:ext cx="1017554" cy="621322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219227</xdr:colOff>
      <xdr:row>1</xdr:row>
      <xdr:rowOff>7620</xdr:rowOff>
    </xdr:from>
    <xdr:to>
      <xdr:col>7</xdr:col>
      <xdr:colOff>609598</xdr:colOff>
      <xdr:row>3</xdr:row>
      <xdr:rowOff>211015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21FA8A7-AD23-41F5-B529-C943F2F8F6CC}"/>
            </a:ext>
          </a:extLst>
        </xdr:cNvPr>
        <xdr:cNvSpPr/>
      </xdr:nvSpPr>
      <xdr:spPr>
        <a:xfrm>
          <a:off x="5582535" y="441374"/>
          <a:ext cx="999971" cy="637149"/>
        </a:xfrm>
        <a:prstGeom prst="rect">
          <a:avLst/>
        </a:prstGeom>
        <a:solidFill>
          <a:srgbClr val="FF0000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357554</xdr:colOff>
      <xdr:row>1</xdr:row>
      <xdr:rowOff>0</xdr:rowOff>
    </xdr:from>
    <xdr:to>
      <xdr:col>10</xdr:col>
      <xdr:colOff>216877</xdr:colOff>
      <xdr:row>3</xdr:row>
      <xdr:rowOff>187569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A5F89DD-3ED3-4DF1-801C-D9596C47311C}"/>
            </a:ext>
          </a:extLst>
        </xdr:cNvPr>
        <xdr:cNvSpPr/>
      </xdr:nvSpPr>
      <xdr:spPr>
        <a:xfrm>
          <a:off x="6940062" y="433754"/>
          <a:ext cx="1078523" cy="62132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245685</xdr:colOff>
      <xdr:row>0</xdr:row>
      <xdr:rowOff>298104</xdr:rowOff>
    </xdr:from>
    <xdr:to>
      <xdr:col>0</xdr:col>
      <xdr:colOff>1079531</xdr:colOff>
      <xdr:row>4</xdr:row>
      <xdr:rowOff>93787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1BBA9FF-3B34-7199-3612-6D590A0B2051}"/>
            </a:ext>
          </a:extLst>
        </xdr:cNvPr>
        <xdr:cNvSpPr txBox="1"/>
      </xdr:nvSpPr>
      <xdr:spPr>
        <a:xfrm>
          <a:off x="245685" y="298104"/>
          <a:ext cx="833846" cy="88006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000" b="1" baseline="0"/>
        </a:p>
        <a:p>
          <a:pPr algn="ctr"/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AVERAGE SCORE</a:t>
          </a:r>
        </a:p>
        <a:p>
          <a:pPr algn="ctr"/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74%</a:t>
          </a:r>
        </a:p>
      </xdr:txBody>
    </xdr:sp>
    <xdr:clientData/>
  </xdr:twoCellAnchor>
  <xdr:twoCellAnchor>
    <xdr:from>
      <xdr:col>8</xdr:col>
      <xdr:colOff>439616</xdr:colOff>
      <xdr:row>1</xdr:row>
      <xdr:rowOff>52086</xdr:rowOff>
    </xdr:from>
    <xdr:to>
      <xdr:col>10</xdr:col>
      <xdr:colOff>112792</xdr:colOff>
      <xdr:row>3</xdr:row>
      <xdr:rowOff>228938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5BA8BCB-10EA-42CF-914C-7DB377037955}"/>
            </a:ext>
          </a:extLst>
        </xdr:cNvPr>
        <xdr:cNvSpPr txBox="1"/>
      </xdr:nvSpPr>
      <xdr:spPr>
        <a:xfrm>
          <a:off x="7022124" y="427224"/>
          <a:ext cx="892376" cy="61060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STUDENTS</a:t>
          </a:r>
        </a:p>
        <a:p>
          <a:pPr algn="ctr"/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200</a:t>
          </a:r>
          <a:endParaRPr lang="en-GB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196952</xdr:colOff>
      <xdr:row>0</xdr:row>
      <xdr:rowOff>369944</xdr:rowOff>
    </xdr:from>
    <xdr:to>
      <xdr:col>8</xdr:col>
      <xdr:colOff>44552</xdr:colOff>
      <xdr:row>3</xdr:row>
      <xdr:rowOff>252045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515B3A3-949D-4526-97AD-3D7F1E85EB72}"/>
            </a:ext>
          </a:extLst>
        </xdr:cNvPr>
        <xdr:cNvSpPr txBox="1"/>
      </xdr:nvSpPr>
      <xdr:spPr>
        <a:xfrm>
          <a:off x="5560260" y="369944"/>
          <a:ext cx="1066800" cy="6909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>
              <a:latin typeface="Times New Roman" panose="02020603050405020304" pitchFamily="18" charset="0"/>
              <a:cs typeface="Times New Roman" panose="02020603050405020304" pitchFamily="18" charset="0"/>
            </a:rPr>
            <a:t>FAIL</a:t>
          </a:r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STUDENTS</a:t>
          </a:r>
        </a:p>
        <a:p>
          <a:pPr algn="ctr"/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COUNT</a:t>
          </a:r>
        </a:p>
        <a:p>
          <a:pPr algn="ctr"/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104 </a:t>
          </a:r>
          <a:endParaRPr lang="en-GB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10058</xdr:colOff>
      <xdr:row>0</xdr:row>
      <xdr:rowOff>357553</xdr:rowOff>
    </xdr:from>
    <xdr:to>
      <xdr:col>5</xdr:col>
      <xdr:colOff>589178</xdr:colOff>
      <xdr:row>3</xdr:row>
      <xdr:rowOff>252046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E818C71-4070-4272-B91D-D1CCE75BEFC5}"/>
            </a:ext>
          </a:extLst>
        </xdr:cNvPr>
        <xdr:cNvSpPr txBox="1"/>
      </xdr:nvSpPr>
      <xdr:spPr>
        <a:xfrm>
          <a:off x="4154166" y="357553"/>
          <a:ext cx="1188720" cy="70338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>
              <a:latin typeface="Times New Roman" panose="02020603050405020304" pitchFamily="18" charset="0"/>
              <a:cs typeface="Times New Roman" panose="02020603050405020304" pitchFamily="18" charset="0"/>
            </a:rPr>
            <a:t>PASS</a:t>
          </a:r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ctr"/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STUDENT COUNT </a:t>
          </a:r>
        </a:p>
        <a:p>
          <a:pPr algn="ctr"/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96</a:t>
          </a:r>
          <a:endParaRPr lang="en-GB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54262</xdr:colOff>
      <xdr:row>1</xdr:row>
      <xdr:rowOff>51917</xdr:rowOff>
    </xdr:from>
    <xdr:to>
      <xdr:col>3</xdr:col>
      <xdr:colOff>277839</xdr:colOff>
      <xdr:row>3</xdr:row>
      <xdr:rowOff>228769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2485123-DDC7-4118-A1E8-8E750D6D0E77}"/>
            </a:ext>
          </a:extLst>
        </xdr:cNvPr>
        <xdr:cNvSpPr txBox="1"/>
      </xdr:nvSpPr>
      <xdr:spPr>
        <a:xfrm>
          <a:off x="2979170" y="485671"/>
          <a:ext cx="833177" cy="61060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LOWEST SCORE</a:t>
          </a:r>
        </a:p>
        <a:p>
          <a:pPr algn="ctr"/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45</a:t>
          </a:r>
        </a:p>
      </xdr:txBody>
    </xdr:sp>
    <xdr:clientData/>
  </xdr:twoCellAnchor>
  <xdr:twoCellAnchor>
    <xdr:from>
      <xdr:col>1</xdr:col>
      <xdr:colOff>252046</xdr:colOff>
      <xdr:row>1</xdr:row>
      <xdr:rowOff>60788</xdr:rowOff>
    </xdr:from>
    <xdr:to>
      <xdr:col>1</xdr:col>
      <xdr:colOff>1197270</xdr:colOff>
      <xdr:row>3</xdr:row>
      <xdr:rowOff>237640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AD56F71-1B39-41AE-B613-360E26C694CE}"/>
            </a:ext>
          </a:extLst>
        </xdr:cNvPr>
        <xdr:cNvSpPr txBox="1"/>
      </xdr:nvSpPr>
      <xdr:spPr>
        <a:xfrm>
          <a:off x="1570892" y="435926"/>
          <a:ext cx="945224" cy="61060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HIGHTEST</a:t>
          </a:r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SCORE </a:t>
          </a:r>
        </a:p>
        <a:p>
          <a:pPr algn="ctr"/>
          <a:r>
            <a:rPr lang="en-GB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100</a:t>
          </a:r>
          <a:endParaRPr lang="en-GB" sz="1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ARA" refreshedDate="46198.55876226852" createdVersion="8" refreshedVersion="8" minRefreshableVersion="3" recordCount="200" xr:uid="{764DC78F-0323-4261-84A0-F71130DA5987}">
  <cacheSource type="worksheet">
    <worksheetSource name="Table1"/>
  </cacheSource>
  <cacheFields count="8">
    <cacheField name="Student ID" numFmtId="0">
      <sharedItems count="20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  <s v="S051"/>
        <s v="S052"/>
        <s v="S053"/>
        <s v="S054"/>
        <s v="S055"/>
        <s v="S056"/>
        <s v="S057"/>
        <s v="S058"/>
        <s v="S059"/>
        <s v="S060"/>
        <s v="S061"/>
        <s v="S062"/>
        <s v="S063"/>
        <s v="S064"/>
        <s v="S065"/>
        <s v="S066"/>
        <s v="S067"/>
        <s v="S068"/>
        <s v="S069"/>
        <s v="S070"/>
        <s v="S071"/>
        <s v="S072"/>
        <s v="S073"/>
        <s v="S074"/>
        <s v="S075"/>
        <s v="S076"/>
        <s v="S077"/>
        <s v="S078"/>
        <s v="S079"/>
        <s v="S080"/>
        <s v="S081"/>
        <s v="S082"/>
        <s v="S083"/>
        <s v="S084"/>
        <s v="S085"/>
        <s v="S086"/>
        <s v="S087"/>
        <s v="S088"/>
        <s v="S089"/>
        <s v="S090"/>
        <s v="S091"/>
        <s v="S092"/>
        <s v="S093"/>
        <s v="S094"/>
        <s v="S095"/>
        <s v="S096"/>
        <s v="S097"/>
        <s v="S098"/>
        <s v="S099"/>
        <s v="S100"/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  <s v="S131"/>
        <s v="S132"/>
        <s v="S133"/>
        <s v="S134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48"/>
        <s v="S149"/>
        <s v="S150"/>
        <s v="S151"/>
        <s v="S152"/>
        <s v="S153"/>
        <s v="S154"/>
        <s v="S155"/>
        <s v="S156"/>
        <s v="S157"/>
        <s v="S158"/>
        <s v="S159"/>
        <s v="S160"/>
        <s v="S161"/>
        <s v="S162"/>
        <s v="S163"/>
        <s v="S164"/>
        <s v="S165"/>
        <s v="S166"/>
        <s v="S167"/>
        <s v="S168"/>
        <s v="S169"/>
        <s v="S170"/>
        <s v="S171"/>
        <s v="S172"/>
        <s v="S173"/>
        <s v="S174"/>
        <s v="S175"/>
        <s v="S176"/>
        <s v="S177"/>
        <s v="S178"/>
        <s v="S179"/>
        <s v="S180"/>
        <s v="S181"/>
        <s v="S182"/>
        <s v="S183"/>
        <s v="S184"/>
        <s v="S185"/>
        <s v="S186"/>
        <s v="S187"/>
        <s v="S188"/>
        <s v="S189"/>
        <s v="S190"/>
        <s v="S191"/>
        <s v="S192"/>
        <s v="S193"/>
        <s v="S194"/>
        <s v="S195"/>
        <s v="S196"/>
        <s v="S197"/>
        <s v="S198"/>
        <s v="S199"/>
        <s v="S200"/>
      </sharedItems>
    </cacheField>
    <cacheField name="Student Name" numFmtId="0">
      <sharedItems count="157">
        <s v="Nimal Fernando"/>
        <s v="Tharindu Gunawardena"/>
        <s v="Upeksha Karunaratne"/>
        <s v="Sachintha Perera"/>
        <s v="Thilina Perera"/>
        <s v="Akila Gunawardena"/>
        <s v="Harshani Wijesinghe"/>
        <s v="Sachini Fernando"/>
        <s v="Chamara Silva"/>
        <s v="Thilina Fernando"/>
        <s v="Anjali Fernando"/>
        <s v="Dilani Jayasuriya"/>
        <s v="Imesha Silva"/>
        <s v="Malith Senanayake"/>
        <s v="Tharindu Karunaratne"/>
        <s v="Nadeesha Bandara"/>
        <s v="Ayesha Fernando"/>
        <s v="Gayan Ranasinghe"/>
        <s v="Dinithi Senanayake"/>
        <s v="Madushi Gunawardena"/>
        <s v="Pramod Silva"/>
        <s v="Sanduni Perera"/>
        <s v="Nimal Ranasinghe"/>
        <s v="Tharindu Wijesinghe"/>
        <s v="Upeksha Fernando"/>
        <s v="Janith Bandara"/>
        <s v="Kavindu Senanayake"/>
        <s v="Sanduni Silva"/>
        <s v="Chamara Wijesinghe"/>
        <s v="Dilan Wijesinghe"/>
        <s v="Kasun Bandara"/>
        <s v="Hansani Silva"/>
        <s v="Nimal Jayasuriya"/>
        <s v="Upeksha Ranasinghe"/>
        <s v="Ravindu Ranasinghe"/>
        <s v="Nethmi Perera"/>
        <s v="Upeksha Silva"/>
        <s v="Malith Gunawardena"/>
        <s v="Kasun Gunawardena"/>
        <s v="Kasuni Silva"/>
        <s v="Nethmi Ranasinghe"/>
        <s v="Yasasvi Karunaratne"/>
        <s v="Lakshan Bandara"/>
        <s v="Isuru Karunaratne"/>
        <s v="Nuwan Fernando"/>
        <s v="Lakshan Silva"/>
        <s v="Dilan Perera"/>
        <s v="Dilani Senanayake"/>
        <s v="Gayan Senanayake"/>
        <s v="Madushi Fernando"/>
        <s v="Nimal Silva"/>
        <s v="Upeksha Jayasuriya"/>
        <s v="Charith Perera"/>
        <s v="Shenali Gunawardena"/>
        <s v="Sanduni Senanayake"/>
        <s v="Dilan Fernando"/>
        <s v="Ayesha Karunaratne"/>
        <s v="Chamara Fernando"/>
        <s v="Isuru Perera"/>
        <s v="Tharindu Fernando"/>
        <s v="Janith Perera"/>
        <s v="Kasuni Jayasuriya"/>
        <s v="Thilina Silva"/>
        <s v="Hansani Gunawardena"/>
        <s v="Dilan Silva"/>
        <s v="Sanduni Wijesinghe"/>
        <s v="Harshani Perera"/>
        <s v="Harshani Silva"/>
        <s v="Anjali Gunawardena"/>
        <s v="Sahan Ranasinghe"/>
        <s v="Sanduni Gunawardena"/>
        <s v="Madushi Jayasuriya"/>
        <s v="Nuwan Ranasinghe"/>
        <s v="Anjali Ranasinghe"/>
        <s v="Yasasvi Fernando"/>
        <s v="Dilan Ranasinghe"/>
        <s v="Akila Karunaratne"/>
        <s v="Ayesha Silva"/>
        <s v="Ayesha Wijesinghe"/>
        <s v="Nadeesha Senanayake"/>
        <s v="Kasun Senanayake"/>
        <s v="Dinithi Fernando"/>
        <s v="Tharushi Bandara"/>
        <s v="Nadeesha Silva"/>
        <s v="Nisansala Ranasinghe"/>
        <s v="Sachintha Bandara"/>
        <s v="Anjali Bandara"/>
        <s v="Gayan Fernando"/>
        <s v="Dinuka Karunaratne"/>
        <s v="Kasun Karunaratne"/>
        <s v="Sachintha Silva"/>
        <s v="Charith Gunawardena"/>
        <s v="Shenali Senanayake"/>
        <s v="Imesha Senanayake"/>
        <s v="Shenali Bandara"/>
        <s v="Madushi Bandara"/>
        <s v="Tharindu Perera"/>
        <s v="Dinuka Senanayake"/>
        <s v="Kasuni Senanayake"/>
        <s v="Imesha Perera"/>
        <s v="Kavindu Fernando"/>
        <s v="Dilan Senanayake"/>
        <s v="Sanduni Bandara"/>
        <s v="Sahan Silva"/>
        <s v="Dilani Perera"/>
        <s v="Gayan Karunaratne"/>
        <s v="Hansani Senanayake"/>
        <s v="Ravindu Bandara"/>
        <s v="Sahan Perera"/>
        <s v="Sachini Perera"/>
        <s v="Tharushi Senanayake"/>
        <s v="Tharindu Silva"/>
        <s v="Madushi Silva"/>
        <s v="Sachintha Wijesinghe"/>
        <s v="Upeksha Senanayake"/>
        <s v="Madushi Ranasinghe"/>
        <s v="Pramod Perera"/>
        <s v="Madushi Perera"/>
        <s v="Nethmi Silva"/>
        <s v="Yasasvi Ranasinghe"/>
        <s v="Anjali Silva"/>
        <s v="Nuwan Gunawardena"/>
        <s v="Ravindu Karunaratne"/>
        <s v="Piumi Karunaratne"/>
        <s v="Tharindu Ranasinghe"/>
        <s v="Kavindu Silva"/>
        <s v="Ayesha Ranasinghe"/>
        <s v="Imesha Wijesinghe"/>
        <s v="Akila Fernando"/>
        <s v="Pramod Gunawardena"/>
        <s v="Nadeesha Perera"/>
        <s v="Kavindu Wijesinghe"/>
        <s v="Piumi Silva"/>
        <s v="Sahan Gunawardena"/>
        <s v="Kavindu Bandara"/>
        <s v="Isuru Bandara"/>
        <s v="Kavindu Karunaratne"/>
        <s v="Charith Silva"/>
        <s v="Dinuka Jayasuriya"/>
        <s v="Thilina Karunaratne"/>
        <s v="Chamara Perera"/>
        <s v="Ravindu Perera"/>
        <s v="Janith Fernando"/>
        <s v="Sachini Jayasuriya"/>
        <s v="Sahan Senanayake"/>
        <s v="Gayan Silva"/>
        <s v="Piumi Senanayake"/>
        <s v="Dinithi Silva"/>
        <s v="Nethmi Wijesinghe"/>
        <s v="Charith Wijesinghe"/>
        <s v="Anjali Perera"/>
        <s v="Yasasvi Perera"/>
        <s v="Lakshan Perera"/>
        <s v="Sachini Karunaratne"/>
        <s v="Nadeesha Wijesinghe"/>
        <s v="Kavindu Jayasuriya"/>
        <s v="Nethmi Karunaratne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22"/>
    </cacheField>
    <cacheField name="Subject" numFmtId="0">
      <sharedItems count="4">
        <s v="Science"/>
        <s v="English"/>
        <s v="Maths"/>
        <s v="ICT"/>
      </sharedItems>
    </cacheField>
    <cacheField name="Exam Score" numFmtId="0">
      <sharedItems containsSemiMixedTypes="0" containsString="0" containsNumber="1" containsInteger="1" minValue="45" maxValue="100"/>
    </cacheField>
    <cacheField name="Attendance %" numFmtId="0">
      <sharedItems containsSemiMixedTypes="0" containsString="0" containsNumber="1" containsInteger="1" minValue="60" maxValue="100"/>
    </cacheField>
    <cacheField name="Gr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s v="Male"/>
    <n v="18"/>
    <x v="0"/>
    <n v="70"/>
    <n v="73"/>
    <s v="Fail"/>
  </r>
  <r>
    <x v="1"/>
    <x v="1"/>
    <s v="Male"/>
    <n v="20"/>
    <x v="1"/>
    <n v="99"/>
    <n v="84"/>
    <s v="Pass"/>
  </r>
  <r>
    <x v="2"/>
    <x v="2"/>
    <s v="Female"/>
    <n v="18"/>
    <x v="2"/>
    <n v="98"/>
    <n v="64"/>
    <s v="Pass"/>
  </r>
  <r>
    <x v="3"/>
    <x v="3"/>
    <s v="Male"/>
    <n v="20"/>
    <x v="0"/>
    <n v="77"/>
    <n v="75"/>
    <s v="Pass"/>
  </r>
  <r>
    <x v="4"/>
    <x v="4"/>
    <s v="Male"/>
    <n v="21"/>
    <x v="0"/>
    <n v="71"/>
    <n v="75"/>
    <s v="Fail"/>
  </r>
  <r>
    <x v="5"/>
    <x v="5"/>
    <s v="Male"/>
    <n v="22"/>
    <x v="3"/>
    <n v="54"/>
    <n v="62"/>
    <s v="Fail"/>
  </r>
  <r>
    <x v="6"/>
    <x v="6"/>
    <s v="Female"/>
    <n v="20"/>
    <x v="1"/>
    <n v="59"/>
    <n v="87"/>
    <s v="Fail"/>
  </r>
  <r>
    <x v="7"/>
    <x v="7"/>
    <s v="Female"/>
    <n v="20"/>
    <x v="2"/>
    <n v="55"/>
    <n v="63"/>
    <s v="Fail"/>
  </r>
  <r>
    <x v="8"/>
    <x v="8"/>
    <s v="Male"/>
    <n v="19"/>
    <x v="1"/>
    <n v="65"/>
    <n v="95"/>
    <s v="Fail"/>
  </r>
  <r>
    <x v="9"/>
    <x v="9"/>
    <s v="Male"/>
    <n v="18"/>
    <x v="3"/>
    <n v="79"/>
    <n v="99"/>
    <s v="Pass"/>
  </r>
  <r>
    <x v="10"/>
    <x v="10"/>
    <s v="Female"/>
    <n v="19"/>
    <x v="0"/>
    <n v="47"/>
    <n v="63"/>
    <s v="Fail"/>
  </r>
  <r>
    <x v="11"/>
    <x v="11"/>
    <s v="Female"/>
    <n v="20"/>
    <x v="3"/>
    <n v="45"/>
    <n v="65"/>
    <s v="Fail"/>
  </r>
  <r>
    <x v="12"/>
    <x v="12"/>
    <s v="Female"/>
    <n v="18"/>
    <x v="0"/>
    <n v="96"/>
    <n v="97"/>
    <s v="Pass"/>
  </r>
  <r>
    <x v="13"/>
    <x v="13"/>
    <s v="Male"/>
    <n v="22"/>
    <x v="3"/>
    <n v="53"/>
    <n v="93"/>
    <s v="Fail"/>
  </r>
  <r>
    <x v="14"/>
    <x v="14"/>
    <s v="Male"/>
    <n v="22"/>
    <x v="1"/>
    <n v="99"/>
    <n v="78"/>
    <s v="Pass"/>
  </r>
  <r>
    <x v="15"/>
    <x v="15"/>
    <s v="Female"/>
    <n v="18"/>
    <x v="2"/>
    <n v="87"/>
    <n v="94"/>
    <s v="Pass"/>
  </r>
  <r>
    <x v="16"/>
    <x v="16"/>
    <s v="Female"/>
    <n v="18"/>
    <x v="2"/>
    <n v="69"/>
    <n v="66"/>
    <s v="Fail"/>
  </r>
  <r>
    <x v="17"/>
    <x v="17"/>
    <s v="Male"/>
    <n v="18"/>
    <x v="2"/>
    <n v="87"/>
    <n v="60"/>
    <s v="Pass"/>
  </r>
  <r>
    <x v="18"/>
    <x v="18"/>
    <s v="Female"/>
    <n v="18"/>
    <x v="1"/>
    <n v="61"/>
    <n v="86"/>
    <s v="Fail"/>
  </r>
  <r>
    <x v="19"/>
    <x v="19"/>
    <s v="Female"/>
    <n v="19"/>
    <x v="2"/>
    <n v="100"/>
    <n v="95"/>
    <s v="Pass"/>
  </r>
  <r>
    <x v="20"/>
    <x v="20"/>
    <s v="Male"/>
    <n v="18"/>
    <x v="0"/>
    <n v="64"/>
    <n v="72"/>
    <s v="Fail"/>
  </r>
  <r>
    <x v="21"/>
    <x v="21"/>
    <s v="Female"/>
    <n v="22"/>
    <x v="3"/>
    <n v="58"/>
    <n v="96"/>
    <s v="Fail"/>
  </r>
  <r>
    <x v="22"/>
    <x v="22"/>
    <s v="Male"/>
    <n v="19"/>
    <x v="2"/>
    <n v="50"/>
    <n v="98"/>
    <s v="Fail"/>
  </r>
  <r>
    <x v="23"/>
    <x v="23"/>
    <s v="Male"/>
    <n v="20"/>
    <x v="0"/>
    <n v="70"/>
    <n v="95"/>
    <s v="Fail"/>
  </r>
  <r>
    <x v="24"/>
    <x v="24"/>
    <s v="Female"/>
    <n v="22"/>
    <x v="1"/>
    <n v="91"/>
    <n v="70"/>
    <s v="Pass"/>
  </r>
  <r>
    <x v="25"/>
    <x v="25"/>
    <s v="Male"/>
    <n v="22"/>
    <x v="1"/>
    <n v="54"/>
    <n v="65"/>
    <s v="Fail"/>
  </r>
  <r>
    <x v="26"/>
    <x v="26"/>
    <s v="Male"/>
    <n v="18"/>
    <x v="2"/>
    <n v="82"/>
    <n v="67"/>
    <s v="Pass"/>
  </r>
  <r>
    <x v="27"/>
    <x v="27"/>
    <s v="Female"/>
    <n v="19"/>
    <x v="3"/>
    <n v="92"/>
    <n v="100"/>
    <s v="Pass"/>
  </r>
  <r>
    <x v="28"/>
    <x v="28"/>
    <s v="Male"/>
    <n v="18"/>
    <x v="1"/>
    <n v="46"/>
    <n v="98"/>
    <s v="Fail"/>
  </r>
  <r>
    <x v="29"/>
    <x v="29"/>
    <s v="Male"/>
    <n v="20"/>
    <x v="3"/>
    <n v="78"/>
    <n v="72"/>
    <s v="Pass"/>
  </r>
  <r>
    <x v="30"/>
    <x v="30"/>
    <s v="Male"/>
    <n v="20"/>
    <x v="3"/>
    <n v="74"/>
    <n v="76"/>
    <s v="Fail"/>
  </r>
  <r>
    <x v="31"/>
    <x v="31"/>
    <s v="Female"/>
    <n v="20"/>
    <x v="1"/>
    <n v="68"/>
    <n v="92"/>
    <s v="Fail"/>
  </r>
  <r>
    <x v="32"/>
    <x v="32"/>
    <s v="Male"/>
    <n v="21"/>
    <x v="0"/>
    <n v="91"/>
    <n v="64"/>
    <s v="Pass"/>
  </r>
  <r>
    <x v="33"/>
    <x v="33"/>
    <s v="Female"/>
    <n v="18"/>
    <x v="1"/>
    <n v="77"/>
    <n v="61"/>
    <s v="Pass"/>
  </r>
  <r>
    <x v="34"/>
    <x v="34"/>
    <s v="Male"/>
    <n v="19"/>
    <x v="0"/>
    <n v="81"/>
    <n v="67"/>
    <s v="Pass"/>
  </r>
  <r>
    <x v="35"/>
    <x v="35"/>
    <s v="Female"/>
    <n v="20"/>
    <x v="2"/>
    <n v="86"/>
    <n v="93"/>
    <s v="Pass"/>
  </r>
  <r>
    <x v="36"/>
    <x v="36"/>
    <s v="Female"/>
    <n v="18"/>
    <x v="2"/>
    <n v="66"/>
    <n v="93"/>
    <s v="Fail"/>
  </r>
  <r>
    <x v="37"/>
    <x v="37"/>
    <s v="Male"/>
    <n v="19"/>
    <x v="3"/>
    <n v="46"/>
    <n v="89"/>
    <s v="Fail"/>
  </r>
  <r>
    <x v="38"/>
    <x v="38"/>
    <s v="Male"/>
    <n v="20"/>
    <x v="2"/>
    <n v="80"/>
    <n v="81"/>
    <s v="Pass"/>
  </r>
  <r>
    <x v="39"/>
    <x v="39"/>
    <s v="Female"/>
    <n v="20"/>
    <x v="3"/>
    <n v="82"/>
    <n v="83"/>
    <s v="Pass"/>
  </r>
  <r>
    <x v="40"/>
    <x v="40"/>
    <s v="Female"/>
    <n v="19"/>
    <x v="3"/>
    <n v="56"/>
    <n v="98"/>
    <s v="Fail"/>
  </r>
  <r>
    <x v="41"/>
    <x v="41"/>
    <s v="Female"/>
    <n v="20"/>
    <x v="3"/>
    <n v="74"/>
    <n v="85"/>
    <s v="Fail"/>
  </r>
  <r>
    <x v="42"/>
    <x v="42"/>
    <s v="Male"/>
    <n v="18"/>
    <x v="1"/>
    <n v="50"/>
    <n v="73"/>
    <s v="Fail"/>
  </r>
  <r>
    <x v="43"/>
    <x v="43"/>
    <s v="Male"/>
    <n v="20"/>
    <x v="2"/>
    <n v="93"/>
    <n v="62"/>
    <s v="Pass"/>
  </r>
  <r>
    <x v="44"/>
    <x v="44"/>
    <s v="Male"/>
    <n v="18"/>
    <x v="3"/>
    <n v="93"/>
    <n v="80"/>
    <s v="Pass"/>
  </r>
  <r>
    <x v="45"/>
    <x v="45"/>
    <s v="Male"/>
    <n v="22"/>
    <x v="1"/>
    <n v="75"/>
    <n v="100"/>
    <s v="Fail"/>
  </r>
  <r>
    <x v="46"/>
    <x v="23"/>
    <s v="Male"/>
    <n v="20"/>
    <x v="2"/>
    <n v="70"/>
    <n v="91"/>
    <s v="Fail"/>
  </r>
  <r>
    <x v="47"/>
    <x v="46"/>
    <s v="Male"/>
    <n v="22"/>
    <x v="1"/>
    <n v="56"/>
    <n v="68"/>
    <s v="Fail"/>
  </r>
  <r>
    <x v="48"/>
    <x v="47"/>
    <s v="Female"/>
    <n v="19"/>
    <x v="1"/>
    <n v="88"/>
    <n v="73"/>
    <s v="Pass"/>
  </r>
  <r>
    <x v="49"/>
    <x v="48"/>
    <s v="Male"/>
    <n v="20"/>
    <x v="3"/>
    <n v="98"/>
    <n v="85"/>
    <s v="Pass"/>
  </r>
  <r>
    <x v="50"/>
    <x v="49"/>
    <s v="Female"/>
    <n v="22"/>
    <x v="0"/>
    <n v="48"/>
    <n v="98"/>
    <s v="Fail"/>
  </r>
  <r>
    <x v="51"/>
    <x v="50"/>
    <s v="Male"/>
    <n v="19"/>
    <x v="0"/>
    <n v="76"/>
    <n v="74"/>
    <s v="Pass"/>
  </r>
  <r>
    <x v="52"/>
    <x v="51"/>
    <s v="Female"/>
    <n v="18"/>
    <x v="3"/>
    <n v="91"/>
    <n v="72"/>
    <s v="Pass"/>
  </r>
  <r>
    <x v="53"/>
    <x v="52"/>
    <s v="Male"/>
    <n v="20"/>
    <x v="0"/>
    <n v="83"/>
    <n v="96"/>
    <s v="Pass"/>
  </r>
  <r>
    <x v="54"/>
    <x v="53"/>
    <s v="Female"/>
    <n v="18"/>
    <x v="0"/>
    <n v="84"/>
    <n v="79"/>
    <s v="Pass"/>
  </r>
  <r>
    <x v="55"/>
    <x v="8"/>
    <s v="Male"/>
    <n v="19"/>
    <x v="0"/>
    <n v="82"/>
    <n v="60"/>
    <s v="Pass"/>
  </r>
  <r>
    <x v="56"/>
    <x v="54"/>
    <s v="Female"/>
    <n v="22"/>
    <x v="1"/>
    <n v="76"/>
    <n v="89"/>
    <s v="Pass"/>
  </r>
  <r>
    <x v="57"/>
    <x v="55"/>
    <s v="Male"/>
    <n v="19"/>
    <x v="3"/>
    <n v="62"/>
    <n v="61"/>
    <s v="Fail"/>
  </r>
  <r>
    <x v="58"/>
    <x v="52"/>
    <s v="Male"/>
    <n v="19"/>
    <x v="1"/>
    <n v="100"/>
    <n v="61"/>
    <s v="Pass"/>
  </r>
  <r>
    <x v="59"/>
    <x v="49"/>
    <s v="Female"/>
    <n v="20"/>
    <x v="1"/>
    <n v="75"/>
    <n v="75"/>
    <s v="Fail"/>
  </r>
  <r>
    <x v="60"/>
    <x v="56"/>
    <s v="Female"/>
    <n v="19"/>
    <x v="1"/>
    <n v="49"/>
    <n v="85"/>
    <s v="Fail"/>
  </r>
  <r>
    <x v="61"/>
    <x v="57"/>
    <s v="Male"/>
    <n v="18"/>
    <x v="1"/>
    <n v="86"/>
    <n v="93"/>
    <s v="Pass"/>
  </r>
  <r>
    <x v="62"/>
    <x v="58"/>
    <s v="Male"/>
    <n v="21"/>
    <x v="1"/>
    <n v="73"/>
    <n v="66"/>
    <s v="Fail"/>
  </r>
  <r>
    <x v="63"/>
    <x v="59"/>
    <s v="Male"/>
    <n v="18"/>
    <x v="1"/>
    <n v="78"/>
    <n v="98"/>
    <s v="Pass"/>
  </r>
  <r>
    <x v="64"/>
    <x v="60"/>
    <s v="Male"/>
    <n v="21"/>
    <x v="3"/>
    <n v="64"/>
    <n v="87"/>
    <s v="Fail"/>
  </r>
  <r>
    <x v="65"/>
    <x v="61"/>
    <s v="Female"/>
    <n v="18"/>
    <x v="3"/>
    <n v="63"/>
    <n v="68"/>
    <s v="Fail"/>
  </r>
  <r>
    <x v="66"/>
    <x v="62"/>
    <s v="Male"/>
    <n v="20"/>
    <x v="2"/>
    <n v="48"/>
    <n v="85"/>
    <s v="Fail"/>
  </r>
  <r>
    <x v="67"/>
    <x v="63"/>
    <s v="Female"/>
    <n v="22"/>
    <x v="2"/>
    <n v="54"/>
    <n v="62"/>
    <s v="Fail"/>
  </r>
  <r>
    <x v="68"/>
    <x v="64"/>
    <s v="Male"/>
    <n v="22"/>
    <x v="2"/>
    <n v="78"/>
    <n v="92"/>
    <s v="Pass"/>
  </r>
  <r>
    <x v="69"/>
    <x v="1"/>
    <s v="Male"/>
    <n v="21"/>
    <x v="2"/>
    <n v="45"/>
    <n v="98"/>
    <s v="Fail"/>
  </r>
  <r>
    <x v="70"/>
    <x v="65"/>
    <s v="Female"/>
    <n v="20"/>
    <x v="3"/>
    <n v="90"/>
    <n v="60"/>
    <s v="Pass"/>
  </r>
  <r>
    <x v="71"/>
    <x v="32"/>
    <s v="Male"/>
    <n v="21"/>
    <x v="2"/>
    <n v="61"/>
    <n v="68"/>
    <s v="Fail"/>
  </r>
  <r>
    <x v="72"/>
    <x v="63"/>
    <s v="Female"/>
    <n v="21"/>
    <x v="0"/>
    <n v="71"/>
    <n v="69"/>
    <s v="Fail"/>
  </r>
  <r>
    <x v="73"/>
    <x v="66"/>
    <s v="Female"/>
    <n v="20"/>
    <x v="1"/>
    <n v="58"/>
    <n v="87"/>
    <s v="Fail"/>
  </r>
  <r>
    <x v="74"/>
    <x v="67"/>
    <s v="Female"/>
    <n v="18"/>
    <x v="1"/>
    <n v="96"/>
    <n v="80"/>
    <s v="Pass"/>
  </r>
  <r>
    <x v="75"/>
    <x v="68"/>
    <s v="Female"/>
    <n v="22"/>
    <x v="3"/>
    <n v="65"/>
    <n v="95"/>
    <s v="Fail"/>
  </r>
  <r>
    <x v="76"/>
    <x v="69"/>
    <s v="Male"/>
    <n v="20"/>
    <x v="3"/>
    <n v="56"/>
    <n v="81"/>
    <s v="Fail"/>
  </r>
  <r>
    <x v="77"/>
    <x v="70"/>
    <s v="Female"/>
    <n v="18"/>
    <x v="1"/>
    <n v="96"/>
    <n v="60"/>
    <s v="Pass"/>
  </r>
  <r>
    <x v="78"/>
    <x v="71"/>
    <s v="Female"/>
    <n v="21"/>
    <x v="1"/>
    <n v="87"/>
    <n v="75"/>
    <s v="Pass"/>
  </r>
  <r>
    <x v="79"/>
    <x v="72"/>
    <s v="Male"/>
    <n v="21"/>
    <x v="2"/>
    <n v="75"/>
    <n v="76"/>
    <s v="Fail"/>
  </r>
  <r>
    <x v="80"/>
    <x v="34"/>
    <s v="Male"/>
    <n v="19"/>
    <x v="1"/>
    <n v="74"/>
    <n v="71"/>
    <s v="Fail"/>
  </r>
  <r>
    <x v="81"/>
    <x v="63"/>
    <s v="Female"/>
    <n v="19"/>
    <x v="1"/>
    <n v="51"/>
    <n v="84"/>
    <s v="Fail"/>
  </r>
  <r>
    <x v="82"/>
    <x v="73"/>
    <s v="Female"/>
    <n v="18"/>
    <x v="1"/>
    <n v="89"/>
    <n v="91"/>
    <s v="Pass"/>
  </r>
  <r>
    <x v="83"/>
    <x v="74"/>
    <s v="Female"/>
    <n v="19"/>
    <x v="1"/>
    <n v="46"/>
    <n v="60"/>
    <s v="Fail"/>
  </r>
  <r>
    <x v="84"/>
    <x v="75"/>
    <s v="Male"/>
    <n v="20"/>
    <x v="3"/>
    <n v="99"/>
    <n v="87"/>
    <s v="Pass"/>
  </r>
  <r>
    <x v="85"/>
    <x v="76"/>
    <s v="Male"/>
    <n v="20"/>
    <x v="1"/>
    <n v="97"/>
    <n v="96"/>
    <s v="Pass"/>
  </r>
  <r>
    <x v="86"/>
    <x v="69"/>
    <s v="Male"/>
    <n v="18"/>
    <x v="1"/>
    <n v="55"/>
    <n v="86"/>
    <s v="Fail"/>
  </r>
  <r>
    <x v="87"/>
    <x v="33"/>
    <s v="Female"/>
    <n v="22"/>
    <x v="3"/>
    <n v="89"/>
    <n v="63"/>
    <s v="Pass"/>
  </r>
  <r>
    <x v="88"/>
    <x v="77"/>
    <s v="Female"/>
    <n v="18"/>
    <x v="3"/>
    <n v="82"/>
    <n v="78"/>
    <s v="Pass"/>
  </r>
  <r>
    <x v="89"/>
    <x v="78"/>
    <s v="Female"/>
    <n v="22"/>
    <x v="3"/>
    <n v="99"/>
    <n v="80"/>
    <s v="Pass"/>
  </r>
  <r>
    <x v="90"/>
    <x v="79"/>
    <s v="Female"/>
    <n v="22"/>
    <x v="2"/>
    <n v="94"/>
    <n v="82"/>
    <s v="Pass"/>
  </r>
  <r>
    <x v="91"/>
    <x v="80"/>
    <s v="Male"/>
    <n v="18"/>
    <x v="2"/>
    <n v="98"/>
    <n v="91"/>
    <s v="Pass"/>
  </r>
  <r>
    <x v="92"/>
    <x v="81"/>
    <s v="Female"/>
    <n v="19"/>
    <x v="1"/>
    <n v="75"/>
    <n v="71"/>
    <s v="Fail"/>
  </r>
  <r>
    <x v="93"/>
    <x v="61"/>
    <s v="Female"/>
    <n v="21"/>
    <x v="1"/>
    <n v="54"/>
    <n v="71"/>
    <s v="Fail"/>
  </r>
  <r>
    <x v="94"/>
    <x v="82"/>
    <s v="Female"/>
    <n v="19"/>
    <x v="1"/>
    <n v="51"/>
    <n v="88"/>
    <s v="Fail"/>
  </r>
  <r>
    <x v="95"/>
    <x v="7"/>
    <s v="Female"/>
    <n v="19"/>
    <x v="0"/>
    <n v="69"/>
    <n v="92"/>
    <s v="Fail"/>
  </r>
  <r>
    <x v="96"/>
    <x v="83"/>
    <s v="Female"/>
    <n v="20"/>
    <x v="2"/>
    <n v="80"/>
    <n v="100"/>
    <s v="Pass"/>
  </r>
  <r>
    <x v="97"/>
    <x v="84"/>
    <s v="Female"/>
    <n v="21"/>
    <x v="3"/>
    <n v="61"/>
    <n v="94"/>
    <s v="Fail"/>
  </r>
  <r>
    <x v="98"/>
    <x v="74"/>
    <s v="Female"/>
    <n v="20"/>
    <x v="0"/>
    <n v="74"/>
    <n v="76"/>
    <s v="Fail"/>
  </r>
  <r>
    <x v="99"/>
    <x v="85"/>
    <s v="Male"/>
    <n v="19"/>
    <x v="1"/>
    <n v="54"/>
    <n v="82"/>
    <s v="Fail"/>
  </r>
  <r>
    <x v="100"/>
    <x v="86"/>
    <s v="Female"/>
    <n v="20"/>
    <x v="1"/>
    <n v="98"/>
    <n v="74"/>
    <s v="Pass"/>
  </r>
  <r>
    <x v="101"/>
    <x v="87"/>
    <s v="Male"/>
    <n v="21"/>
    <x v="1"/>
    <n v="59"/>
    <n v="99"/>
    <s v="Fail"/>
  </r>
  <r>
    <x v="102"/>
    <x v="88"/>
    <s v="Male"/>
    <n v="18"/>
    <x v="3"/>
    <n v="92"/>
    <n v="99"/>
    <s v="Pass"/>
  </r>
  <r>
    <x v="103"/>
    <x v="89"/>
    <s v="Male"/>
    <n v="18"/>
    <x v="2"/>
    <n v="71"/>
    <n v="96"/>
    <s v="Fail"/>
  </r>
  <r>
    <x v="104"/>
    <x v="90"/>
    <s v="Male"/>
    <n v="21"/>
    <x v="3"/>
    <n v="61"/>
    <n v="70"/>
    <s v="Fail"/>
  </r>
  <r>
    <x v="105"/>
    <x v="91"/>
    <s v="Male"/>
    <n v="18"/>
    <x v="1"/>
    <n v="83"/>
    <n v="97"/>
    <s v="Pass"/>
  </r>
  <r>
    <x v="106"/>
    <x v="92"/>
    <s v="Female"/>
    <n v="21"/>
    <x v="2"/>
    <n v="64"/>
    <n v="92"/>
    <s v="Fail"/>
  </r>
  <r>
    <x v="107"/>
    <x v="34"/>
    <s v="Male"/>
    <n v="22"/>
    <x v="1"/>
    <n v="79"/>
    <n v="60"/>
    <s v="Pass"/>
  </r>
  <r>
    <x v="108"/>
    <x v="93"/>
    <s v="Female"/>
    <n v="22"/>
    <x v="0"/>
    <n v="70"/>
    <n v="94"/>
    <s v="Fail"/>
  </r>
  <r>
    <x v="109"/>
    <x v="94"/>
    <s v="Female"/>
    <n v="18"/>
    <x v="1"/>
    <n v="66"/>
    <n v="67"/>
    <s v="Fail"/>
  </r>
  <r>
    <x v="110"/>
    <x v="95"/>
    <s v="Female"/>
    <n v="22"/>
    <x v="0"/>
    <n v="74"/>
    <n v="80"/>
    <s v="Fail"/>
  </r>
  <r>
    <x v="111"/>
    <x v="87"/>
    <s v="Male"/>
    <n v="22"/>
    <x v="1"/>
    <n v="92"/>
    <n v="80"/>
    <s v="Pass"/>
  </r>
  <r>
    <x v="112"/>
    <x v="33"/>
    <s v="Female"/>
    <n v="18"/>
    <x v="2"/>
    <n v="68"/>
    <n v="99"/>
    <s v="Fail"/>
  </r>
  <r>
    <x v="113"/>
    <x v="68"/>
    <s v="Female"/>
    <n v="18"/>
    <x v="2"/>
    <n v="62"/>
    <n v="100"/>
    <s v="Fail"/>
  </r>
  <r>
    <x v="114"/>
    <x v="82"/>
    <s v="Female"/>
    <n v="18"/>
    <x v="2"/>
    <n v="80"/>
    <n v="93"/>
    <s v="Pass"/>
  </r>
  <r>
    <x v="115"/>
    <x v="96"/>
    <s v="Male"/>
    <n v="19"/>
    <x v="3"/>
    <n v="93"/>
    <n v="73"/>
    <s v="Pass"/>
  </r>
  <r>
    <x v="116"/>
    <x v="97"/>
    <s v="Male"/>
    <n v="19"/>
    <x v="2"/>
    <n v="54"/>
    <n v="77"/>
    <s v="Fail"/>
  </r>
  <r>
    <x v="117"/>
    <x v="98"/>
    <s v="Female"/>
    <n v="18"/>
    <x v="0"/>
    <n v="76"/>
    <n v="76"/>
    <s v="Pass"/>
  </r>
  <r>
    <x v="118"/>
    <x v="99"/>
    <s v="Female"/>
    <n v="18"/>
    <x v="1"/>
    <n v="100"/>
    <n v="81"/>
    <s v="Pass"/>
  </r>
  <r>
    <x v="119"/>
    <x v="100"/>
    <s v="Male"/>
    <n v="22"/>
    <x v="3"/>
    <n v="92"/>
    <n v="82"/>
    <s v="Pass"/>
  </r>
  <r>
    <x v="120"/>
    <x v="101"/>
    <s v="Male"/>
    <n v="22"/>
    <x v="2"/>
    <n v="96"/>
    <n v="99"/>
    <s v="Pass"/>
  </r>
  <r>
    <x v="121"/>
    <x v="102"/>
    <s v="Female"/>
    <n v="18"/>
    <x v="2"/>
    <n v="49"/>
    <n v="80"/>
    <s v="Fail"/>
  </r>
  <r>
    <x v="122"/>
    <x v="103"/>
    <s v="Male"/>
    <n v="22"/>
    <x v="2"/>
    <n v="50"/>
    <n v="71"/>
    <s v="Fail"/>
  </r>
  <r>
    <x v="123"/>
    <x v="104"/>
    <s v="Female"/>
    <n v="18"/>
    <x v="2"/>
    <n v="99"/>
    <n v="75"/>
    <s v="Pass"/>
  </r>
  <r>
    <x v="124"/>
    <x v="105"/>
    <s v="Male"/>
    <n v="22"/>
    <x v="0"/>
    <n v="90"/>
    <n v="77"/>
    <s v="Pass"/>
  </r>
  <r>
    <x v="125"/>
    <x v="106"/>
    <s v="Female"/>
    <n v="20"/>
    <x v="0"/>
    <n v="76"/>
    <n v="69"/>
    <s v="Pass"/>
  </r>
  <r>
    <x v="126"/>
    <x v="107"/>
    <s v="Male"/>
    <n v="22"/>
    <x v="0"/>
    <n v="100"/>
    <n v="70"/>
    <s v="Pass"/>
  </r>
  <r>
    <x v="127"/>
    <x v="71"/>
    <s v="Female"/>
    <n v="21"/>
    <x v="2"/>
    <n v="81"/>
    <n v="83"/>
    <s v="Pass"/>
  </r>
  <r>
    <x v="128"/>
    <x v="108"/>
    <s v="Male"/>
    <n v="21"/>
    <x v="0"/>
    <n v="75"/>
    <n v="83"/>
    <s v="Fail"/>
  </r>
  <r>
    <x v="129"/>
    <x v="109"/>
    <s v="Female"/>
    <n v="19"/>
    <x v="3"/>
    <n v="71"/>
    <n v="86"/>
    <s v="Fail"/>
  </r>
  <r>
    <x v="130"/>
    <x v="110"/>
    <s v="Female"/>
    <n v="21"/>
    <x v="2"/>
    <n v="45"/>
    <n v="89"/>
    <s v="Fail"/>
  </r>
  <r>
    <x v="131"/>
    <x v="111"/>
    <s v="Male"/>
    <n v="21"/>
    <x v="1"/>
    <n v="50"/>
    <n v="61"/>
    <s v="Fail"/>
  </r>
  <r>
    <x v="132"/>
    <x v="64"/>
    <s v="Male"/>
    <n v="19"/>
    <x v="1"/>
    <n v="85"/>
    <n v="100"/>
    <s v="Pass"/>
  </r>
  <r>
    <x v="133"/>
    <x v="81"/>
    <s v="Female"/>
    <n v="18"/>
    <x v="3"/>
    <n v="48"/>
    <n v="95"/>
    <s v="Fail"/>
  </r>
  <r>
    <x v="134"/>
    <x v="112"/>
    <s v="Female"/>
    <n v="19"/>
    <x v="2"/>
    <n v="93"/>
    <n v="90"/>
    <s v="Pass"/>
  </r>
  <r>
    <x v="135"/>
    <x v="113"/>
    <s v="Male"/>
    <n v="19"/>
    <x v="2"/>
    <n v="75"/>
    <n v="76"/>
    <s v="Fail"/>
  </r>
  <r>
    <x v="136"/>
    <x v="57"/>
    <s v="Male"/>
    <n v="21"/>
    <x v="1"/>
    <n v="95"/>
    <n v="85"/>
    <s v="Pass"/>
  </r>
  <r>
    <x v="137"/>
    <x v="114"/>
    <s v="Female"/>
    <n v="22"/>
    <x v="1"/>
    <n v="64"/>
    <n v="78"/>
    <s v="Fail"/>
  </r>
  <r>
    <x v="138"/>
    <x v="48"/>
    <s v="Male"/>
    <n v="19"/>
    <x v="3"/>
    <n v="49"/>
    <n v="87"/>
    <s v="Fail"/>
  </r>
  <r>
    <x v="139"/>
    <x v="115"/>
    <s v="Female"/>
    <n v="19"/>
    <x v="3"/>
    <n v="45"/>
    <n v="61"/>
    <s v="Fail"/>
  </r>
  <r>
    <x v="140"/>
    <x v="116"/>
    <s v="Male"/>
    <n v="22"/>
    <x v="2"/>
    <n v="87"/>
    <n v="97"/>
    <s v="Pass"/>
  </r>
  <r>
    <x v="141"/>
    <x v="117"/>
    <s v="Female"/>
    <n v="19"/>
    <x v="2"/>
    <n v="100"/>
    <n v="80"/>
    <s v="Pass"/>
  </r>
  <r>
    <x v="142"/>
    <x v="48"/>
    <s v="Male"/>
    <n v="18"/>
    <x v="1"/>
    <n v="78"/>
    <n v="98"/>
    <s v="Pass"/>
  </r>
  <r>
    <x v="143"/>
    <x v="67"/>
    <s v="Female"/>
    <n v="20"/>
    <x v="1"/>
    <n v="69"/>
    <n v="83"/>
    <s v="Fail"/>
  </r>
  <r>
    <x v="144"/>
    <x v="10"/>
    <s v="Female"/>
    <n v="22"/>
    <x v="3"/>
    <n v="52"/>
    <n v="88"/>
    <s v="Fail"/>
  </r>
  <r>
    <x v="145"/>
    <x v="118"/>
    <s v="Female"/>
    <n v="18"/>
    <x v="3"/>
    <n v="53"/>
    <n v="76"/>
    <s v="Fail"/>
  </r>
  <r>
    <x v="146"/>
    <x v="119"/>
    <s v="Female"/>
    <n v="21"/>
    <x v="1"/>
    <n v="88"/>
    <n v="60"/>
    <s v="Pass"/>
  </r>
  <r>
    <x v="147"/>
    <x v="49"/>
    <s v="Female"/>
    <n v="18"/>
    <x v="0"/>
    <n v="70"/>
    <n v="62"/>
    <s v="Fail"/>
  </r>
  <r>
    <x v="148"/>
    <x v="120"/>
    <s v="Female"/>
    <n v="18"/>
    <x v="2"/>
    <n v="56"/>
    <n v="92"/>
    <s v="Fail"/>
  </r>
  <r>
    <x v="149"/>
    <x v="121"/>
    <s v="Male"/>
    <n v="18"/>
    <x v="1"/>
    <n v="95"/>
    <n v="66"/>
    <s v="Pass"/>
  </r>
  <r>
    <x v="150"/>
    <x v="115"/>
    <s v="Female"/>
    <n v="20"/>
    <x v="3"/>
    <n v="82"/>
    <n v="68"/>
    <s v="Pass"/>
  </r>
  <r>
    <x v="151"/>
    <x v="99"/>
    <s v="Female"/>
    <n v="21"/>
    <x v="0"/>
    <n v="63"/>
    <n v="69"/>
    <s v="Fail"/>
  </r>
  <r>
    <x v="152"/>
    <x v="122"/>
    <s v="Male"/>
    <n v="20"/>
    <x v="2"/>
    <n v="89"/>
    <n v="64"/>
    <s v="Pass"/>
  </r>
  <r>
    <x v="153"/>
    <x v="123"/>
    <s v="Female"/>
    <n v="21"/>
    <x v="2"/>
    <n v="65"/>
    <n v="89"/>
    <s v="Fail"/>
  </r>
  <r>
    <x v="154"/>
    <x v="99"/>
    <s v="Female"/>
    <n v="19"/>
    <x v="2"/>
    <n v="61"/>
    <n v="60"/>
    <s v="Fail"/>
  </r>
  <r>
    <x v="155"/>
    <x v="124"/>
    <s v="Male"/>
    <n v="22"/>
    <x v="1"/>
    <n v="98"/>
    <n v="81"/>
    <s v="Pass"/>
  </r>
  <r>
    <x v="156"/>
    <x v="125"/>
    <s v="Male"/>
    <n v="18"/>
    <x v="0"/>
    <n v="74"/>
    <n v="91"/>
    <s v="Fail"/>
  </r>
  <r>
    <x v="157"/>
    <x v="126"/>
    <s v="Female"/>
    <n v="18"/>
    <x v="1"/>
    <n v="64"/>
    <n v="79"/>
    <s v="Fail"/>
  </r>
  <r>
    <x v="158"/>
    <x v="26"/>
    <s v="Male"/>
    <n v="21"/>
    <x v="2"/>
    <n v="76"/>
    <n v="70"/>
    <s v="Pass"/>
  </r>
  <r>
    <x v="159"/>
    <x v="30"/>
    <s v="Male"/>
    <n v="22"/>
    <x v="0"/>
    <n v="83"/>
    <n v="95"/>
    <s v="Pass"/>
  </r>
  <r>
    <x v="160"/>
    <x v="127"/>
    <s v="Female"/>
    <n v="21"/>
    <x v="2"/>
    <n v="76"/>
    <n v="76"/>
    <s v="Pass"/>
  </r>
  <r>
    <x v="161"/>
    <x v="128"/>
    <s v="Male"/>
    <n v="20"/>
    <x v="1"/>
    <n v="98"/>
    <n v="98"/>
    <s v="Pass"/>
  </r>
  <r>
    <x v="162"/>
    <x v="129"/>
    <s v="Male"/>
    <n v="19"/>
    <x v="2"/>
    <n v="62"/>
    <n v="86"/>
    <s v="Fail"/>
  </r>
  <r>
    <x v="163"/>
    <x v="126"/>
    <s v="Female"/>
    <n v="18"/>
    <x v="0"/>
    <n v="86"/>
    <n v="100"/>
    <s v="Pass"/>
  </r>
  <r>
    <x v="164"/>
    <x v="130"/>
    <s v="Female"/>
    <n v="22"/>
    <x v="3"/>
    <n v="54"/>
    <n v="89"/>
    <s v="Fail"/>
  </r>
  <r>
    <x v="165"/>
    <x v="131"/>
    <s v="Male"/>
    <n v="20"/>
    <x v="0"/>
    <n v="74"/>
    <n v="77"/>
    <s v="Fail"/>
  </r>
  <r>
    <x v="166"/>
    <x v="132"/>
    <s v="Female"/>
    <n v="22"/>
    <x v="1"/>
    <n v="81"/>
    <n v="62"/>
    <s v="Pass"/>
  </r>
  <r>
    <x v="167"/>
    <x v="133"/>
    <s v="Male"/>
    <n v="18"/>
    <x v="3"/>
    <n v="98"/>
    <n v="75"/>
    <s v="Pass"/>
  </r>
  <r>
    <x v="168"/>
    <x v="134"/>
    <s v="Male"/>
    <n v="21"/>
    <x v="1"/>
    <n v="85"/>
    <n v="76"/>
    <s v="Pass"/>
  </r>
  <r>
    <x v="169"/>
    <x v="135"/>
    <s v="Male"/>
    <n v="19"/>
    <x v="2"/>
    <n v="50"/>
    <n v="91"/>
    <s v="Fail"/>
  </r>
  <r>
    <x v="170"/>
    <x v="25"/>
    <s v="Male"/>
    <n v="20"/>
    <x v="3"/>
    <n v="94"/>
    <n v="97"/>
    <s v="Pass"/>
  </r>
  <r>
    <x v="171"/>
    <x v="136"/>
    <s v="Male"/>
    <n v="18"/>
    <x v="3"/>
    <n v="65"/>
    <n v="93"/>
    <s v="Fail"/>
  </r>
  <r>
    <x v="172"/>
    <x v="137"/>
    <s v="Male"/>
    <n v="21"/>
    <x v="3"/>
    <n v="47"/>
    <n v="92"/>
    <s v="Fail"/>
  </r>
  <r>
    <x v="173"/>
    <x v="138"/>
    <s v="Male"/>
    <n v="22"/>
    <x v="1"/>
    <n v="96"/>
    <n v="84"/>
    <s v="Pass"/>
  </r>
  <r>
    <x v="174"/>
    <x v="13"/>
    <s v="Male"/>
    <n v="20"/>
    <x v="1"/>
    <n v="47"/>
    <n v="95"/>
    <s v="Fail"/>
  </r>
  <r>
    <x v="175"/>
    <x v="139"/>
    <s v="Male"/>
    <n v="19"/>
    <x v="2"/>
    <n v="91"/>
    <n v="89"/>
    <s v="Pass"/>
  </r>
  <r>
    <x v="176"/>
    <x v="140"/>
    <s v="Male"/>
    <n v="19"/>
    <x v="2"/>
    <n v="96"/>
    <n v="98"/>
    <s v="Pass"/>
  </r>
  <r>
    <x v="177"/>
    <x v="55"/>
    <s v="Male"/>
    <n v="20"/>
    <x v="3"/>
    <n v="92"/>
    <n v="64"/>
    <s v="Pass"/>
  </r>
  <r>
    <x v="178"/>
    <x v="15"/>
    <s v="Female"/>
    <n v="19"/>
    <x v="3"/>
    <n v="79"/>
    <n v="61"/>
    <s v="Pass"/>
  </r>
  <r>
    <x v="179"/>
    <x v="141"/>
    <s v="Male"/>
    <n v="22"/>
    <x v="2"/>
    <n v="61"/>
    <n v="80"/>
    <s v="Fail"/>
  </r>
  <r>
    <x v="180"/>
    <x v="69"/>
    <s v="Male"/>
    <n v="21"/>
    <x v="3"/>
    <n v="53"/>
    <n v="94"/>
    <s v="Fail"/>
  </r>
  <r>
    <x v="181"/>
    <x v="142"/>
    <s v="Male"/>
    <n v="18"/>
    <x v="2"/>
    <n v="63"/>
    <n v="73"/>
    <s v="Fail"/>
  </r>
  <r>
    <x v="182"/>
    <x v="143"/>
    <s v="Female"/>
    <n v="21"/>
    <x v="0"/>
    <n v="46"/>
    <n v="82"/>
    <s v="Fail"/>
  </r>
  <r>
    <x v="183"/>
    <x v="144"/>
    <s v="Male"/>
    <n v="20"/>
    <x v="0"/>
    <n v="59"/>
    <n v="62"/>
    <s v="Fail"/>
  </r>
  <r>
    <x v="184"/>
    <x v="71"/>
    <s v="Female"/>
    <n v="21"/>
    <x v="2"/>
    <n v="51"/>
    <n v="87"/>
    <s v="Fail"/>
  </r>
  <r>
    <x v="185"/>
    <x v="145"/>
    <s v="Male"/>
    <n v="19"/>
    <x v="2"/>
    <n v="82"/>
    <n v="68"/>
    <s v="Pass"/>
  </r>
  <r>
    <x v="186"/>
    <x v="146"/>
    <s v="Female"/>
    <n v="22"/>
    <x v="1"/>
    <n v="69"/>
    <n v="87"/>
    <s v="Fail"/>
  </r>
  <r>
    <x v="187"/>
    <x v="147"/>
    <s v="Female"/>
    <n v="19"/>
    <x v="0"/>
    <n v="94"/>
    <n v="87"/>
    <s v="Pass"/>
  </r>
  <r>
    <x v="188"/>
    <x v="148"/>
    <s v="Female"/>
    <n v="18"/>
    <x v="1"/>
    <n v="86"/>
    <n v="94"/>
    <s v="Pass"/>
  </r>
  <r>
    <x v="189"/>
    <x v="149"/>
    <s v="Male"/>
    <n v="22"/>
    <x v="2"/>
    <n v="77"/>
    <n v="76"/>
    <s v="Pass"/>
  </r>
  <r>
    <x v="190"/>
    <x v="150"/>
    <s v="Female"/>
    <n v="22"/>
    <x v="1"/>
    <n v="76"/>
    <n v="61"/>
    <s v="Pass"/>
  </r>
  <r>
    <x v="191"/>
    <x v="151"/>
    <s v="Female"/>
    <n v="18"/>
    <x v="3"/>
    <n v="88"/>
    <n v="69"/>
    <s v="Pass"/>
  </r>
  <r>
    <x v="192"/>
    <x v="152"/>
    <s v="Male"/>
    <n v="20"/>
    <x v="1"/>
    <n v="84"/>
    <n v="70"/>
    <s v="Pass"/>
  </r>
  <r>
    <x v="193"/>
    <x v="3"/>
    <s v="Male"/>
    <n v="18"/>
    <x v="2"/>
    <n v="68"/>
    <n v="66"/>
    <s v="Fail"/>
  </r>
  <r>
    <x v="194"/>
    <x v="4"/>
    <s v="Male"/>
    <n v="21"/>
    <x v="0"/>
    <n v="61"/>
    <n v="75"/>
    <s v="Fail"/>
  </r>
  <r>
    <x v="195"/>
    <x v="153"/>
    <s v="Female"/>
    <n v="18"/>
    <x v="1"/>
    <n v="60"/>
    <n v="90"/>
    <s v="Fail"/>
  </r>
  <r>
    <x v="196"/>
    <x v="154"/>
    <s v="Female"/>
    <n v="21"/>
    <x v="1"/>
    <n v="86"/>
    <n v="73"/>
    <s v="Pass"/>
  </r>
  <r>
    <x v="197"/>
    <x v="149"/>
    <s v="Male"/>
    <n v="19"/>
    <x v="1"/>
    <n v="78"/>
    <n v="60"/>
    <s v="Pass"/>
  </r>
  <r>
    <x v="198"/>
    <x v="155"/>
    <s v="Male"/>
    <n v="20"/>
    <x v="0"/>
    <n v="46"/>
    <n v="75"/>
    <s v="Fail"/>
  </r>
  <r>
    <x v="199"/>
    <x v="156"/>
    <s v="Female"/>
    <n v="18"/>
    <x v="2"/>
    <n v="71"/>
    <n v="74"/>
    <s v="F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92B7C-F221-42AD-85A2-8C388EF1DA5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Subjects">
  <location ref="A4:B9" firstHeaderRow="1" firstDataRow="1" firstDataCol="1" rowPageCount="2" colPageCount="1"/>
  <pivotFields count="8">
    <pivotField axis="axisPage" multipleItemSelectionAllowe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Page" showAll="0">
      <items count="158">
        <item x="128"/>
        <item x="5"/>
        <item x="76"/>
        <item x="86"/>
        <item x="10"/>
        <item x="68"/>
        <item x="150"/>
        <item x="73"/>
        <item x="120"/>
        <item x="16"/>
        <item x="56"/>
        <item x="126"/>
        <item x="77"/>
        <item x="78"/>
        <item x="57"/>
        <item x="140"/>
        <item x="8"/>
        <item x="28"/>
        <item x="91"/>
        <item x="52"/>
        <item x="137"/>
        <item x="149"/>
        <item x="55"/>
        <item x="46"/>
        <item x="75"/>
        <item x="101"/>
        <item x="64"/>
        <item x="29"/>
        <item x="11"/>
        <item x="104"/>
        <item x="47"/>
        <item x="81"/>
        <item x="18"/>
        <item x="147"/>
        <item x="138"/>
        <item x="88"/>
        <item x="97"/>
        <item x="87"/>
        <item x="105"/>
        <item x="17"/>
        <item x="48"/>
        <item x="145"/>
        <item x="63"/>
        <item x="106"/>
        <item x="31"/>
        <item x="66"/>
        <item x="67"/>
        <item x="6"/>
        <item x="99"/>
        <item x="93"/>
        <item x="12"/>
        <item x="127"/>
        <item x="135"/>
        <item x="43"/>
        <item x="58"/>
        <item x="25"/>
        <item x="142"/>
        <item x="60"/>
        <item x="30"/>
        <item x="38"/>
        <item x="89"/>
        <item x="80"/>
        <item x="61"/>
        <item x="98"/>
        <item x="39"/>
        <item x="134"/>
        <item x="100"/>
        <item x="155"/>
        <item x="136"/>
        <item x="26"/>
        <item x="125"/>
        <item x="131"/>
        <item x="42"/>
        <item x="152"/>
        <item x="45"/>
        <item x="95"/>
        <item x="49"/>
        <item x="19"/>
        <item x="71"/>
        <item x="117"/>
        <item x="115"/>
        <item x="112"/>
        <item x="37"/>
        <item x="13"/>
        <item x="15"/>
        <item x="130"/>
        <item x="79"/>
        <item x="83"/>
        <item x="154"/>
        <item x="156"/>
        <item x="35"/>
        <item x="40"/>
        <item x="118"/>
        <item x="148"/>
        <item x="0"/>
        <item x="32"/>
        <item x="22"/>
        <item x="50"/>
        <item x="84"/>
        <item x="44"/>
        <item x="121"/>
        <item x="72"/>
        <item x="123"/>
        <item x="146"/>
        <item x="132"/>
        <item x="129"/>
        <item x="116"/>
        <item x="20"/>
        <item x="107"/>
        <item x="122"/>
        <item x="141"/>
        <item x="34"/>
        <item x="7"/>
        <item x="143"/>
        <item x="153"/>
        <item x="109"/>
        <item x="85"/>
        <item x="3"/>
        <item x="90"/>
        <item x="113"/>
        <item x="133"/>
        <item x="108"/>
        <item x="69"/>
        <item x="144"/>
        <item x="103"/>
        <item x="102"/>
        <item x="70"/>
        <item x="21"/>
        <item x="54"/>
        <item x="27"/>
        <item x="65"/>
        <item x="94"/>
        <item x="53"/>
        <item x="92"/>
        <item x="59"/>
        <item x="1"/>
        <item x="14"/>
        <item x="96"/>
        <item x="124"/>
        <item x="111"/>
        <item x="23"/>
        <item x="82"/>
        <item x="110"/>
        <item x="9"/>
        <item x="139"/>
        <item x="4"/>
        <item x="62"/>
        <item x="24"/>
        <item x="51"/>
        <item x="2"/>
        <item x="33"/>
        <item x="114"/>
        <item x="36"/>
        <item x="74"/>
        <item x="41"/>
        <item x="151"/>
        <item x="119"/>
        <item t="default"/>
      </items>
    </pivotField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0" hier="-1"/>
    <pageField fld="1" hier="-1"/>
  </pageFields>
  <dataFields count="1">
    <dataField name="Average Score by Subjects" fld="5" subtotal="average" baseField="4" baseItem="0"/>
  </dataFields>
  <formats count="1">
    <format dxfId="7">
      <pivotArea collapsedLevelsAreSubtotals="1" fieldPosition="0">
        <references count="1">
          <reference field="4" count="0"/>
        </references>
      </pivotArea>
    </format>
  </formats>
  <chartFormats count="4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99EBA-B7FE-4DB2-ACE3-9F282C97FA93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Subjects">
  <location ref="J16:K21" firstHeaderRow="1" firstDataRow="1" firstDataCol="1" rowPageCount="2" colPageCount="1"/>
  <pivotFields count="8">
    <pivotField axis="axisPage" multipleItemSelectionAllowe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Page" showAll="0">
      <items count="158">
        <item x="128"/>
        <item x="5"/>
        <item x="76"/>
        <item x="86"/>
        <item x="10"/>
        <item x="68"/>
        <item x="150"/>
        <item x="73"/>
        <item x="120"/>
        <item x="16"/>
        <item x="56"/>
        <item x="126"/>
        <item x="77"/>
        <item x="78"/>
        <item x="57"/>
        <item x="140"/>
        <item x="8"/>
        <item x="28"/>
        <item x="91"/>
        <item x="52"/>
        <item x="137"/>
        <item x="149"/>
        <item x="55"/>
        <item x="46"/>
        <item x="75"/>
        <item x="101"/>
        <item x="64"/>
        <item x="29"/>
        <item x="11"/>
        <item x="104"/>
        <item x="47"/>
        <item x="81"/>
        <item x="18"/>
        <item x="147"/>
        <item x="138"/>
        <item x="88"/>
        <item x="97"/>
        <item x="87"/>
        <item x="105"/>
        <item x="17"/>
        <item x="48"/>
        <item x="145"/>
        <item x="63"/>
        <item x="106"/>
        <item x="31"/>
        <item x="66"/>
        <item x="67"/>
        <item x="6"/>
        <item x="99"/>
        <item x="93"/>
        <item x="12"/>
        <item x="127"/>
        <item x="135"/>
        <item x="43"/>
        <item x="58"/>
        <item x="25"/>
        <item x="142"/>
        <item x="60"/>
        <item x="30"/>
        <item x="38"/>
        <item x="89"/>
        <item x="80"/>
        <item x="61"/>
        <item x="98"/>
        <item x="39"/>
        <item x="134"/>
        <item x="100"/>
        <item x="155"/>
        <item x="136"/>
        <item x="26"/>
        <item x="125"/>
        <item x="131"/>
        <item x="42"/>
        <item x="152"/>
        <item x="45"/>
        <item x="95"/>
        <item x="49"/>
        <item x="19"/>
        <item x="71"/>
        <item x="117"/>
        <item x="115"/>
        <item x="112"/>
        <item x="37"/>
        <item x="13"/>
        <item x="15"/>
        <item x="130"/>
        <item x="79"/>
        <item x="83"/>
        <item x="154"/>
        <item x="156"/>
        <item x="35"/>
        <item x="40"/>
        <item x="118"/>
        <item x="148"/>
        <item x="0"/>
        <item x="32"/>
        <item x="22"/>
        <item x="50"/>
        <item x="84"/>
        <item x="44"/>
        <item x="121"/>
        <item x="72"/>
        <item x="123"/>
        <item x="146"/>
        <item x="132"/>
        <item x="129"/>
        <item x="116"/>
        <item x="20"/>
        <item x="107"/>
        <item x="122"/>
        <item x="141"/>
        <item x="34"/>
        <item x="7"/>
        <item x="143"/>
        <item x="153"/>
        <item x="109"/>
        <item x="85"/>
        <item x="3"/>
        <item x="90"/>
        <item x="113"/>
        <item x="133"/>
        <item x="108"/>
        <item x="69"/>
        <item x="144"/>
        <item x="103"/>
        <item x="102"/>
        <item x="70"/>
        <item x="21"/>
        <item x="54"/>
        <item x="27"/>
        <item x="65"/>
        <item x="94"/>
        <item x="53"/>
        <item x="92"/>
        <item x="59"/>
        <item x="1"/>
        <item x="14"/>
        <item x="96"/>
        <item x="124"/>
        <item x="111"/>
        <item x="23"/>
        <item x="82"/>
        <item x="110"/>
        <item x="9"/>
        <item x="139"/>
        <item x="4"/>
        <item x="62"/>
        <item x="24"/>
        <item x="51"/>
        <item x="2"/>
        <item x="33"/>
        <item x="114"/>
        <item x="36"/>
        <item x="74"/>
        <item x="41"/>
        <item x="151"/>
        <item x="119"/>
        <item t="default"/>
      </items>
    </pivotField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0" hier="-1"/>
    <pageField fld="1" hier="-1"/>
  </pageFields>
  <dataFields count="1">
    <dataField name="Average Score by Subject" fld="5" subtotal="average" baseField="4" baseItem="0"/>
  </dataFields>
  <formats count="1">
    <format dxfId="6">
      <pivotArea collapsedLevelsAreSubtotals="1" fieldPosition="0">
        <references count="1">
          <reference field="4" count="0"/>
        </references>
      </pivotArea>
    </format>
  </format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4299B1-74FB-4123-A682-484BC78D2BFC}" name="Table1" displayName="Table1" ref="A1:H201" totalsRowShown="0" headerRowDxfId="13">
  <autoFilter ref="A1:H201" xr:uid="{104299B1-74FB-4123-A682-484BC78D2BFC}"/>
  <tableColumns count="8">
    <tableColumn id="1" xr3:uid="{60FFB015-B4BF-4FEA-81FB-D886D0A5CD7A}" name="Student ID"/>
    <tableColumn id="2" xr3:uid="{727F955C-BEC2-4D2F-B59C-1CD039866198}" name="Student Name"/>
    <tableColumn id="3" xr3:uid="{DC051A77-26FF-4C24-ABD1-218FAC09CEB5}" name="Gender"/>
    <tableColumn id="4" xr3:uid="{7FBB0274-6FAA-45FC-9E1B-FEE89845B293}" name="Age"/>
    <tableColumn id="5" xr3:uid="{EC54F994-073C-445F-90D1-7818C736C9DC}" name="Subject"/>
    <tableColumn id="6" xr3:uid="{3566F82F-F3BD-47EB-8DB6-312BDBAFC89D}" name="Exam Score"/>
    <tableColumn id="7" xr3:uid="{B8D792E8-D22B-4C4F-8A9A-4B1517159101}" name="Attendance %"/>
    <tableColumn id="8" xr3:uid="{A10B2AEE-99A0-43F7-BB4A-EBF22BFD6EB3}" name="Grade" dataDxfId="12">
      <calculatedColumnFormula>IF(Table1[[#This Row],[Exam Score]]&gt;75,"Pass","Fail")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B8011C-4E66-403E-A1CE-C07F9AD004E5}" name="Table2" displayName="Table2" ref="J4:K9" totalsRowShown="0" headerRowDxfId="11" dataDxfId="10">
  <tableColumns count="2">
    <tableColumn id="1" xr3:uid="{E3ED635E-44FF-4711-9700-783F0FCF2F38}" name="Average Score" dataDxfId="8"/>
    <tableColumn id="2" xr3:uid="{78386B7D-85A0-4F71-AD1F-D670178C2B11}" name="74%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626C2FF-8E96-4212-BF1A-F2C5D01C52B4}" name="Table14" displayName="Table14" ref="J3:K3" headerRowCount="0" dataDxfId="3">
  <tableColumns count="2">
    <tableColumn id="1" xr3:uid="{09A7E142-B10B-44D7-88F9-9274E1634B11}" name="Column1" totalsRowLabel="Total" dataDxfId="5" totalsRowDxfId="1"/>
    <tableColumn id="2" xr3:uid="{B12C9C7A-B5A9-445B-971E-67191833370A}" name="Column2" totalsRowFunction="count" dataDxfId="4" totalsRow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5682-6C4B-4556-BD2B-2A3006FA8529}">
  <dimension ref="A1:B9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23.44140625" bestFit="1" customWidth="1"/>
  </cols>
  <sheetData>
    <row r="1" spans="1:2" x14ac:dyDescent="0.3">
      <c r="A1" s="4" t="s">
        <v>0</v>
      </c>
      <c r="B1" s="1" t="s">
        <v>380</v>
      </c>
    </row>
    <row r="2" spans="1:2" x14ac:dyDescent="0.3">
      <c r="A2" s="4" t="s">
        <v>1</v>
      </c>
      <c r="B2" s="1" t="s">
        <v>380</v>
      </c>
    </row>
    <row r="4" spans="1:2" x14ac:dyDescent="0.3">
      <c r="A4" s="4" t="s">
        <v>379</v>
      </c>
      <c r="B4" t="s">
        <v>385</v>
      </c>
    </row>
    <row r="5" spans="1:2" x14ac:dyDescent="0.3">
      <c r="A5" s="5" t="s">
        <v>13</v>
      </c>
      <c r="B5" s="7">
        <v>75.265625</v>
      </c>
    </row>
    <row r="6" spans="1:2" x14ac:dyDescent="0.3">
      <c r="A6" s="5" t="s">
        <v>24</v>
      </c>
      <c r="B6" s="7">
        <v>71.978260869565219</v>
      </c>
    </row>
    <row r="7" spans="1:2" x14ac:dyDescent="0.3">
      <c r="A7" s="5" t="s">
        <v>17</v>
      </c>
      <c r="B7" s="7">
        <v>73.181818181818187</v>
      </c>
    </row>
    <row r="8" spans="1:2" x14ac:dyDescent="0.3">
      <c r="A8" s="5" t="s">
        <v>10</v>
      </c>
      <c r="B8" s="7">
        <v>73.457142857142856</v>
      </c>
    </row>
    <row r="9" spans="1:2" x14ac:dyDescent="0.3">
      <c r="A9" s="5" t="s">
        <v>378</v>
      </c>
      <c r="B9" s="6">
        <v>73.62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BB50-9834-496E-836B-82729C9650E2}">
  <dimension ref="A1:S201"/>
  <sheetViews>
    <sheetView topLeftCell="E1" zoomScale="85" zoomScaleNormal="85" workbookViewId="0">
      <selection activeCell="J3" sqref="J3:K21"/>
    </sheetView>
  </sheetViews>
  <sheetFormatPr defaultRowHeight="14.4" x14ac:dyDescent="0.3"/>
  <cols>
    <col min="1" max="1" width="16.33203125" customWidth="1"/>
    <col min="2" max="2" width="28.33203125" customWidth="1"/>
    <col min="3" max="3" width="16.33203125" customWidth="1"/>
    <col min="4" max="4" width="10.77734375" customWidth="1"/>
    <col min="5" max="5" width="14.77734375" customWidth="1"/>
    <col min="6" max="6" width="15.88671875" customWidth="1"/>
    <col min="7" max="7" width="17.33203125" customWidth="1"/>
    <col min="10" max="10" width="20.44140625" customWidth="1"/>
    <col min="11" max="11" width="24" bestFit="1" customWidth="1"/>
  </cols>
  <sheetData>
    <row r="1" spans="1:19" ht="33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370</v>
      </c>
      <c r="J1" s="12" t="s">
        <v>384</v>
      </c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3">
      <c r="A2" s="1" t="s">
        <v>7</v>
      </c>
      <c r="B2" s="1" t="s">
        <v>8</v>
      </c>
      <c r="C2" s="1" t="s">
        <v>9</v>
      </c>
      <c r="D2" s="1">
        <v>18</v>
      </c>
      <c r="E2" s="1" t="s">
        <v>10</v>
      </c>
      <c r="F2" s="1">
        <v>70</v>
      </c>
      <c r="G2" s="1">
        <v>73</v>
      </c>
      <c r="H2" t="str">
        <f>IF(Table1[[#This Row],[Exam Score]]&gt;75,"Pass","Fail")</f>
        <v>Fail</v>
      </c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5.6" x14ac:dyDescent="0.3">
      <c r="A3" s="1" t="s">
        <v>11</v>
      </c>
      <c r="B3" s="1" t="s">
        <v>12</v>
      </c>
      <c r="C3" s="1" t="s">
        <v>9</v>
      </c>
      <c r="D3" s="1">
        <v>20</v>
      </c>
      <c r="E3" s="1" t="s">
        <v>13</v>
      </c>
      <c r="F3" s="1">
        <v>99</v>
      </c>
      <c r="G3" s="1">
        <v>84</v>
      </c>
      <c r="H3" t="str">
        <f>IF(Table1[[#This Row],[Exam Score]]&gt;75,"Pass","Fail")</f>
        <v>Pass</v>
      </c>
      <c r="J3" s="10" t="s">
        <v>381</v>
      </c>
      <c r="K3" s="10" t="s">
        <v>382</v>
      </c>
    </row>
    <row r="4" spans="1:19" x14ac:dyDescent="0.3">
      <c r="A4" s="1" t="s">
        <v>14</v>
      </c>
      <c r="B4" s="1" t="s">
        <v>15</v>
      </c>
      <c r="C4" s="1" t="s">
        <v>16</v>
      </c>
      <c r="D4" s="1">
        <v>18</v>
      </c>
      <c r="E4" s="1" t="s">
        <v>17</v>
      </c>
      <c r="F4" s="1">
        <v>98</v>
      </c>
      <c r="G4" s="1">
        <v>64</v>
      </c>
      <c r="H4" t="str">
        <f>IF(Table1[[#This Row],[Exam Score]]&gt;75,"Pass","Fail")</f>
        <v>Pass</v>
      </c>
      <c r="J4" s="5" t="s">
        <v>371</v>
      </c>
      <c r="K4" s="9" t="s">
        <v>377</v>
      </c>
    </row>
    <row r="5" spans="1:19" x14ac:dyDescent="0.3">
      <c r="A5" s="1" t="s">
        <v>18</v>
      </c>
      <c r="B5" s="1" t="s">
        <v>19</v>
      </c>
      <c r="C5" s="1" t="s">
        <v>9</v>
      </c>
      <c r="D5" s="1">
        <v>20</v>
      </c>
      <c r="E5" s="1" t="s">
        <v>10</v>
      </c>
      <c r="F5" s="1">
        <v>77</v>
      </c>
      <c r="G5" s="1">
        <v>75</v>
      </c>
      <c r="H5" t="str">
        <f>IF(Table1[[#This Row],[Exam Score]]&gt;75,"Pass","Fail")</f>
        <v>Pass</v>
      </c>
      <c r="J5" s="5" t="s">
        <v>372</v>
      </c>
      <c r="K5" s="8">
        <f>MAX(Table1[Exam Score])</f>
        <v>100</v>
      </c>
    </row>
    <row r="6" spans="1:19" x14ac:dyDescent="0.3">
      <c r="A6" s="1" t="s">
        <v>20</v>
      </c>
      <c r="B6" s="1" t="s">
        <v>21</v>
      </c>
      <c r="C6" s="1" t="s">
        <v>9</v>
      </c>
      <c r="D6" s="1">
        <v>21</v>
      </c>
      <c r="E6" s="1" t="s">
        <v>10</v>
      </c>
      <c r="F6" s="1">
        <v>71</v>
      </c>
      <c r="G6" s="1">
        <v>75</v>
      </c>
      <c r="H6" t="str">
        <f>IF(Table1[[#This Row],[Exam Score]]&gt;75,"Pass","Fail")</f>
        <v>Fail</v>
      </c>
      <c r="J6" s="5" t="s">
        <v>373</v>
      </c>
      <c r="K6" s="8">
        <f>MIN(Table1[Exam Score])</f>
        <v>45</v>
      </c>
    </row>
    <row r="7" spans="1:19" x14ac:dyDescent="0.3">
      <c r="A7" s="1" t="s">
        <v>22</v>
      </c>
      <c r="B7" s="1" t="s">
        <v>23</v>
      </c>
      <c r="C7" s="1" t="s">
        <v>9</v>
      </c>
      <c r="D7" s="1">
        <v>22</v>
      </c>
      <c r="E7" s="1" t="s">
        <v>24</v>
      </c>
      <c r="F7" s="1">
        <v>54</v>
      </c>
      <c r="G7" s="1">
        <v>62</v>
      </c>
      <c r="H7" t="str">
        <f>IF(Table1[[#This Row],[Exam Score]]&gt;75,"Pass","Fail")</f>
        <v>Fail</v>
      </c>
      <c r="J7" s="5" t="s">
        <v>374</v>
      </c>
      <c r="K7" s="8">
        <f>COUNTA(Table1[Student Name])</f>
        <v>200</v>
      </c>
    </row>
    <row r="8" spans="1:19" x14ac:dyDescent="0.3">
      <c r="A8" s="1" t="s">
        <v>25</v>
      </c>
      <c r="B8" s="1" t="s">
        <v>26</v>
      </c>
      <c r="C8" s="1" t="s">
        <v>16</v>
      </c>
      <c r="D8" s="1">
        <v>20</v>
      </c>
      <c r="E8" s="1" t="s">
        <v>13</v>
      </c>
      <c r="F8" s="1">
        <v>59</v>
      </c>
      <c r="G8" s="1">
        <v>87</v>
      </c>
      <c r="H8" t="str">
        <f>IF(Table1[[#This Row],[Exam Score]]&gt;75,"Pass","Fail")</f>
        <v>Fail</v>
      </c>
      <c r="J8" s="5" t="s">
        <v>375</v>
      </c>
      <c r="K8" s="8">
        <f>COUNTIF(Table1[Grade],"Pass")</f>
        <v>96</v>
      </c>
    </row>
    <row r="9" spans="1:19" x14ac:dyDescent="0.3">
      <c r="A9" s="1" t="s">
        <v>27</v>
      </c>
      <c r="B9" s="1" t="s">
        <v>28</v>
      </c>
      <c r="C9" s="1" t="s">
        <v>16</v>
      </c>
      <c r="D9" s="1">
        <v>20</v>
      </c>
      <c r="E9" s="1" t="s">
        <v>17</v>
      </c>
      <c r="F9" s="1">
        <v>55</v>
      </c>
      <c r="G9" s="1">
        <v>63</v>
      </c>
      <c r="H9" t="str">
        <f>IF(Table1[[#This Row],[Exam Score]]&gt;75,"Pass","Fail")</f>
        <v>Fail</v>
      </c>
      <c r="J9" s="5" t="s">
        <v>376</v>
      </c>
      <c r="K9" s="8">
        <f>COUNTIF(Table1[Grade],"Fail")</f>
        <v>104</v>
      </c>
    </row>
    <row r="10" spans="1:19" x14ac:dyDescent="0.3">
      <c r="A10" s="1" t="s">
        <v>29</v>
      </c>
      <c r="B10" s="1" t="s">
        <v>30</v>
      </c>
      <c r="C10" s="1" t="s">
        <v>9</v>
      </c>
      <c r="D10" s="1">
        <v>19</v>
      </c>
      <c r="E10" s="1" t="s">
        <v>13</v>
      </c>
      <c r="F10" s="1">
        <v>65</v>
      </c>
      <c r="G10" s="1">
        <v>95</v>
      </c>
      <c r="H10" t="str">
        <f>IF(Table1[[#This Row],[Exam Score]]&gt;75,"Pass","Fail")</f>
        <v>Fail</v>
      </c>
    </row>
    <row r="11" spans="1:19" x14ac:dyDescent="0.3">
      <c r="A11" s="1" t="s">
        <v>31</v>
      </c>
      <c r="B11" s="1" t="s">
        <v>32</v>
      </c>
      <c r="C11" s="1" t="s">
        <v>9</v>
      </c>
      <c r="D11" s="1">
        <v>18</v>
      </c>
      <c r="E11" s="1" t="s">
        <v>24</v>
      </c>
      <c r="F11" s="1">
        <v>79</v>
      </c>
      <c r="G11" s="1">
        <v>99</v>
      </c>
      <c r="H11" t="str">
        <f>IF(Table1[[#This Row],[Exam Score]]&gt;75,"Pass","Fail")</f>
        <v>Pass</v>
      </c>
    </row>
    <row r="12" spans="1:19" x14ac:dyDescent="0.3">
      <c r="A12" s="1" t="s">
        <v>33</v>
      </c>
      <c r="B12" s="1" t="s">
        <v>34</v>
      </c>
      <c r="C12" s="1" t="s">
        <v>16</v>
      </c>
      <c r="D12" s="1">
        <v>19</v>
      </c>
      <c r="E12" s="1" t="s">
        <v>10</v>
      </c>
      <c r="F12" s="1">
        <v>47</v>
      </c>
      <c r="G12" s="1">
        <v>63</v>
      </c>
      <c r="H12" t="str">
        <f>IF(Table1[[#This Row],[Exam Score]]&gt;75,"Pass","Fail")</f>
        <v>Fail</v>
      </c>
    </row>
    <row r="13" spans="1:19" x14ac:dyDescent="0.3">
      <c r="A13" s="1" t="s">
        <v>35</v>
      </c>
      <c r="B13" s="1" t="s">
        <v>36</v>
      </c>
      <c r="C13" s="1" t="s">
        <v>16</v>
      </c>
      <c r="D13" s="1">
        <v>20</v>
      </c>
      <c r="E13" s="1" t="s">
        <v>24</v>
      </c>
      <c r="F13" s="1">
        <v>45</v>
      </c>
      <c r="G13" s="1">
        <v>65</v>
      </c>
      <c r="H13" t="str">
        <f>IF(Table1[[#This Row],[Exam Score]]&gt;75,"Pass","Fail")</f>
        <v>Fail</v>
      </c>
      <c r="J13" s="4" t="s">
        <v>0</v>
      </c>
      <c r="K13" s="1" t="s">
        <v>380</v>
      </c>
    </row>
    <row r="14" spans="1:19" x14ac:dyDescent="0.3">
      <c r="A14" s="1" t="s">
        <v>37</v>
      </c>
      <c r="B14" s="1" t="s">
        <v>38</v>
      </c>
      <c r="C14" s="1" t="s">
        <v>16</v>
      </c>
      <c r="D14" s="1">
        <v>18</v>
      </c>
      <c r="E14" s="1" t="s">
        <v>10</v>
      </c>
      <c r="F14" s="1">
        <v>96</v>
      </c>
      <c r="G14" s="1">
        <v>97</v>
      </c>
      <c r="H14" t="str">
        <f>IF(Table1[[#This Row],[Exam Score]]&gt;75,"Pass","Fail")</f>
        <v>Pass</v>
      </c>
      <c r="J14" s="4" t="s">
        <v>1</v>
      </c>
      <c r="K14" s="1" t="s">
        <v>380</v>
      </c>
    </row>
    <row r="15" spans="1:19" x14ac:dyDescent="0.3">
      <c r="A15" s="1" t="s">
        <v>39</v>
      </c>
      <c r="B15" s="1" t="s">
        <v>40</v>
      </c>
      <c r="C15" s="1" t="s">
        <v>9</v>
      </c>
      <c r="D15" s="1">
        <v>22</v>
      </c>
      <c r="E15" s="1" t="s">
        <v>24</v>
      </c>
      <c r="F15" s="1">
        <v>53</v>
      </c>
      <c r="G15" s="1">
        <v>93</v>
      </c>
      <c r="H15" t="str">
        <f>IF(Table1[[#This Row],[Exam Score]]&gt;75,"Pass","Fail")</f>
        <v>Fail</v>
      </c>
      <c r="J15" s="1"/>
      <c r="K15" s="1"/>
    </row>
    <row r="16" spans="1:19" x14ac:dyDescent="0.3">
      <c r="A16" s="1" t="s">
        <v>41</v>
      </c>
      <c r="B16" s="1" t="s">
        <v>42</v>
      </c>
      <c r="C16" s="1" t="s">
        <v>9</v>
      </c>
      <c r="D16" s="1">
        <v>22</v>
      </c>
      <c r="E16" s="1" t="s">
        <v>13</v>
      </c>
      <c r="F16" s="1">
        <v>99</v>
      </c>
      <c r="G16" s="1">
        <v>78</v>
      </c>
      <c r="H16" t="str">
        <f>IF(Table1[[#This Row],[Exam Score]]&gt;75,"Pass","Fail")</f>
        <v>Pass</v>
      </c>
      <c r="J16" s="4" t="s">
        <v>379</v>
      </c>
      <c r="K16" t="s">
        <v>383</v>
      </c>
    </row>
    <row r="17" spans="1:11" x14ac:dyDescent="0.3">
      <c r="A17" s="1" t="s">
        <v>43</v>
      </c>
      <c r="B17" s="1" t="s">
        <v>44</v>
      </c>
      <c r="C17" s="1" t="s">
        <v>16</v>
      </c>
      <c r="D17" s="1">
        <v>18</v>
      </c>
      <c r="E17" s="1" t="s">
        <v>17</v>
      </c>
      <c r="F17" s="1">
        <v>87</v>
      </c>
      <c r="G17" s="1">
        <v>94</v>
      </c>
      <c r="H17" t="str">
        <f>IF(Table1[[#This Row],[Exam Score]]&gt;75,"Pass","Fail")</f>
        <v>Pass</v>
      </c>
      <c r="J17" s="5" t="s">
        <v>13</v>
      </c>
      <c r="K17" s="7">
        <v>75.265625</v>
      </c>
    </row>
    <row r="18" spans="1:11" x14ac:dyDescent="0.3">
      <c r="A18" s="1" t="s">
        <v>45</v>
      </c>
      <c r="B18" s="1" t="s">
        <v>46</v>
      </c>
      <c r="C18" s="1" t="s">
        <v>16</v>
      </c>
      <c r="D18" s="1">
        <v>18</v>
      </c>
      <c r="E18" s="1" t="s">
        <v>17</v>
      </c>
      <c r="F18" s="1">
        <v>69</v>
      </c>
      <c r="G18" s="1">
        <v>66</v>
      </c>
      <c r="H18" t="str">
        <f>IF(Table1[[#This Row],[Exam Score]]&gt;75,"Pass","Fail")</f>
        <v>Fail</v>
      </c>
      <c r="J18" s="5" t="s">
        <v>24</v>
      </c>
      <c r="K18" s="7">
        <v>71.978260869565219</v>
      </c>
    </row>
    <row r="19" spans="1:11" x14ac:dyDescent="0.3">
      <c r="A19" s="1" t="s">
        <v>47</v>
      </c>
      <c r="B19" s="1" t="s">
        <v>48</v>
      </c>
      <c r="C19" s="1" t="s">
        <v>9</v>
      </c>
      <c r="D19" s="1">
        <v>18</v>
      </c>
      <c r="E19" s="1" t="s">
        <v>17</v>
      </c>
      <c r="F19" s="1">
        <v>87</v>
      </c>
      <c r="G19" s="1">
        <v>60</v>
      </c>
      <c r="H19" t="str">
        <f>IF(Table1[[#This Row],[Exam Score]]&gt;75,"Pass","Fail")</f>
        <v>Pass</v>
      </c>
      <c r="J19" s="5" t="s">
        <v>17</v>
      </c>
      <c r="K19" s="7">
        <v>73.181818181818187</v>
      </c>
    </row>
    <row r="20" spans="1:11" x14ac:dyDescent="0.3">
      <c r="A20" s="1" t="s">
        <v>49</v>
      </c>
      <c r="B20" s="1" t="s">
        <v>50</v>
      </c>
      <c r="C20" s="1" t="s">
        <v>16</v>
      </c>
      <c r="D20" s="1">
        <v>18</v>
      </c>
      <c r="E20" s="1" t="s">
        <v>13</v>
      </c>
      <c r="F20" s="1">
        <v>61</v>
      </c>
      <c r="G20" s="1">
        <v>86</v>
      </c>
      <c r="H20" t="str">
        <f>IF(Table1[[#This Row],[Exam Score]]&gt;75,"Pass","Fail")</f>
        <v>Fail</v>
      </c>
      <c r="J20" s="5" t="s">
        <v>10</v>
      </c>
      <c r="K20" s="7">
        <v>73.457142857142856</v>
      </c>
    </row>
    <row r="21" spans="1:11" x14ac:dyDescent="0.3">
      <c r="A21" s="1" t="s">
        <v>51</v>
      </c>
      <c r="B21" s="1" t="s">
        <v>52</v>
      </c>
      <c r="C21" s="1" t="s">
        <v>16</v>
      </c>
      <c r="D21" s="1">
        <v>19</v>
      </c>
      <c r="E21" s="1" t="s">
        <v>17</v>
      </c>
      <c r="F21" s="1">
        <v>100</v>
      </c>
      <c r="G21" s="1">
        <v>95</v>
      </c>
      <c r="H21" t="str">
        <f>IF(Table1[[#This Row],[Exam Score]]&gt;75,"Pass","Fail")</f>
        <v>Pass</v>
      </c>
      <c r="J21" s="5" t="s">
        <v>378</v>
      </c>
      <c r="K21" s="6">
        <v>73.62</v>
      </c>
    </row>
    <row r="22" spans="1:11" x14ac:dyDescent="0.3">
      <c r="A22" s="1" t="s">
        <v>53</v>
      </c>
      <c r="B22" s="1" t="s">
        <v>54</v>
      </c>
      <c r="C22" s="1" t="s">
        <v>9</v>
      </c>
      <c r="D22" s="1">
        <v>18</v>
      </c>
      <c r="E22" s="1" t="s">
        <v>10</v>
      </c>
      <c r="F22" s="1">
        <v>64</v>
      </c>
      <c r="G22" s="1">
        <v>72</v>
      </c>
      <c r="H22" t="str">
        <f>IF(Table1[[#This Row],[Exam Score]]&gt;75,"Pass","Fail")</f>
        <v>Fail</v>
      </c>
    </row>
    <row r="23" spans="1:11" x14ac:dyDescent="0.3">
      <c r="A23" s="1" t="s">
        <v>55</v>
      </c>
      <c r="B23" s="1" t="s">
        <v>56</v>
      </c>
      <c r="C23" s="1" t="s">
        <v>16</v>
      </c>
      <c r="D23" s="1">
        <v>22</v>
      </c>
      <c r="E23" s="1" t="s">
        <v>24</v>
      </c>
      <c r="F23" s="1">
        <v>58</v>
      </c>
      <c r="G23" s="1">
        <v>96</v>
      </c>
      <c r="H23" t="str">
        <f>IF(Table1[[#This Row],[Exam Score]]&gt;75,"Pass","Fail")</f>
        <v>Fail</v>
      </c>
    </row>
    <row r="24" spans="1:11" x14ac:dyDescent="0.3">
      <c r="A24" s="1" t="s">
        <v>57</v>
      </c>
      <c r="B24" s="1" t="s">
        <v>58</v>
      </c>
      <c r="C24" s="1" t="s">
        <v>9</v>
      </c>
      <c r="D24" s="1">
        <v>19</v>
      </c>
      <c r="E24" s="1" t="s">
        <v>17</v>
      </c>
      <c r="F24" s="1">
        <v>50</v>
      </c>
      <c r="G24" s="1">
        <v>98</v>
      </c>
      <c r="H24" t="str">
        <f>IF(Table1[[#This Row],[Exam Score]]&gt;75,"Pass","Fail")</f>
        <v>Fail</v>
      </c>
    </row>
    <row r="25" spans="1:11" x14ac:dyDescent="0.3">
      <c r="A25" s="1" t="s">
        <v>59</v>
      </c>
      <c r="B25" s="1" t="s">
        <v>60</v>
      </c>
      <c r="C25" s="1" t="s">
        <v>9</v>
      </c>
      <c r="D25" s="1">
        <v>20</v>
      </c>
      <c r="E25" s="1" t="s">
        <v>10</v>
      </c>
      <c r="F25" s="1">
        <v>70</v>
      </c>
      <c r="G25" s="1">
        <v>95</v>
      </c>
      <c r="H25" t="str">
        <f>IF(Table1[[#This Row],[Exam Score]]&gt;75,"Pass","Fail")</f>
        <v>Fail</v>
      </c>
    </row>
    <row r="26" spans="1:11" x14ac:dyDescent="0.3">
      <c r="A26" s="1" t="s">
        <v>61</v>
      </c>
      <c r="B26" s="1" t="s">
        <v>62</v>
      </c>
      <c r="C26" s="1" t="s">
        <v>16</v>
      </c>
      <c r="D26" s="1">
        <v>22</v>
      </c>
      <c r="E26" s="1" t="s">
        <v>13</v>
      </c>
      <c r="F26" s="1">
        <v>91</v>
      </c>
      <c r="G26" s="1">
        <v>70</v>
      </c>
      <c r="H26" t="str">
        <f>IF(Table1[[#This Row],[Exam Score]]&gt;75,"Pass","Fail")</f>
        <v>Pass</v>
      </c>
    </row>
    <row r="27" spans="1:11" x14ac:dyDescent="0.3">
      <c r="A27" s="1" t="s">
        <v>63</v>
      </c>
      <c r="B27" s="1" t="s">
        <v>64</v>
      </c>
      <c r="C27" s="1" t="s">
        <v>9</v>
      </c>
      <c r="D27" s="1">
        <v>22</v>
      </c>
      <c r="E27" s="1" t="s">
        <v>13</v>
      </c>
      <c r="F27" s="1">
        <v>54</v>
      </c>
      <c r="G27" s="1">
        <v>65</v>
      </c>
      <c r="H27" t="str">
        <f>IF(Table1[[#This Row],[Exam Score]]&gt;75,"Pass","Fail")</f>
        <v>Fail</v>
      </c>
    </row>
    <row r="28" spans="1:11" x14ac:dyDescent="0.3">
      <c r="A28" s="1" t="s">
        <v>65</v>
      </c>
      <c r="B28" s="1" t="s">
        <v>66</v>
      </c>
      <c r="C28" s="1" t="s">
        <v>9</v>
      </c>
      <c r="D28" s="1">
        <v>18</v>
      </c>
      <c r="E28" s="1" t="s">
        <v>17</v>
      </c>
      <c r="F28" s="1">
        <v>82</v>
      </c>
      <c r="G28" s="1">
        <v>67</v>
      </c>
      <c r="H28" t="str">
        <f>IF(Table1[[#This Row],[Exam Score]]&gt;75,"Pass","Fail")</f>
        <v>Pass</v>
      </c>
    </row>
    <row r="29" spans="1:11" x14ac:dyDescent="0.3">
      <c r="A29" s="1" t="s">
        <v>67</v>
      </c>
      <c r="B29" s="1" t="s">
        <v>68</v>
      </c>
      <c r="C29" s="1" t="s">
        <v>16</v>
      </c>
      <c r="D29" s="1">
        <v>19</v>
      </c>
      <c r="E29" s="1" t="s">
        <v>24</v>
      </c>
      <c r="F29" s="1">
        <v>92</v>
      </c>
      <c r="G29" s="1">
        <v>100</v>
      </c>
      <c r="H29" t="str">
        <f>IF(Table1[[#This Row],[Exam Score]]&gt;75,"Pass","Fail")</f>
        <v>Pass</v>
      </c>
    </row>
    <row r="30" spans="1:11" x14ac:dyDescent="0.3">
      <c r="A30" s="1" t="s">
        <v>69</v>
      </c>
      <c r="B30" s="1" t="s">
        <v>70</v>
      </c>
      <c r="C30" s="1" t="s">
        <v>9</v>
      </c>
      <c r="D30" s="1">
        <v>18</v>
      </c>
      <c r="E30" s="1" t="s">
        <v>13</v>
      </c>
      <c r="F30" s="1">
        <v>46</v>
      </c>
      <c r="G30" s="1">
        <v>98</v>
      </c>
      <c r="H30" t="str">
        <f>IF(Table1[[#This Row],[Exam Score]]&gt;75,"Pass","Fail")</f>
        <v>Fail</v>
      </c>
    </row>
    <row r="31" spans="1:11" x14ac:dyDescent="0.3">
      <c r="A31" s="1" t="s">
        <v>71</v>
      </c>
      <c r="B31" s="1" t="s">
        <v>72</v>
      </c>
      <c r="C31" s="1" t="s">
        <v>9</v>
      </c>
      <c r="D31" s="1">
        <v>20</v>
      </c>
      <c r="E31" s="1" t="s">
        <v>24</v>
      </c>
      <c r="F31" s="1">
        <v>78</v>
      </c>
      <c r="G31" s="1">
        <v>72</v>
      </c>
      <c r="H31" t="str">
        <f>IF(Table1[[#This Row],[Exam Score]]&gt;75,"Pass","Fail")</f>
        <v>Pass</v>
      </c>
    </row>
    <row r="32" spans="1:11" x14ac:dyDescent="0.3">
      <c r="A32" s="1" t="s">
        <v>73</v>
      </c>
      <c r="B32" s="1" t="s">
        <v>74</v>
      </c>
      <c r="C32" s="1" t="s">
        <v>9</v>
      </c>
      <c r="D32" s="1">
        <v>20</v>
      </c>
      <c r="E32" s="1" t="s">
        <v>24</v>
      </c>
      <c r="F32" s="1">
        <v>74</v>
      </c>
      <c r="G32" s="1">
        <v>76</v>
      </c>
      <c r="H32" t="str">
        <f>IF(Table1[[#This Row],[Exam Score]]&gt;75,"Pass","Fail")</f>
        <v>Fail</v>
      </c>
    </row>
    <row r="33" spans="1:8" x14ac:dyDescent="0.3">
      <c r="A33" s="1" t="s">
        <v>75</v>
      </c>
      <c r="B33" s="1" t="s">
        <v>76</v>
      </c>
      <c r="C33" s="1" t="s">
        <v>16</v>
      </c>
      <c r="D33" s="1">
        <v>20</v>
      </c>
      <c r="E33" s="1" t="s">
        <v>13</v>
      </c>
      <c r="F33" s="1">
        <v>68</v>
      </c>
      <c r="G33" s="1">
        <v>92</v>
      </c>
      <c r="H33" t="str">
        <f>IF(Table1[[#This Row],[Exam Score]]&gt;75,"Pass","Fail")</f>
        <v>Fail</v>
      </c>
    </row>
    <row r="34" spans="1:8" x14ac:dyDescent="0.3">
      <c r="A34" s="1" t="s">
        <v>77</v>
      </c>
      <c r="B34" s="1" t="s">
        <v>78</v>
      </c>
      <c r="C34" s="1" t="s">
        <v>9</v>
      </c>
      <c r="D34" s="1">
        <v>21</v>
      </c>
      <c r="E34" s="1" t="s">
        <v>10</v>
      </c>
      <c r="F34" s="1">
        <v>91</v>
      </c>
      <c r="G34" s="1">
        <v>64</v>
      </c>
      <c r="H34" t="str">
        <f>IF(Table1[[#This Row],[Exam Score]]&gt;75,"Pass","Fail")</f>
        <v>Pass</v>
      </c>
    </row>
    <row r="35" spans="1:8" x14ac:dyDescent="0.3">
      <c r="A35" s="1" t="s">
        <v>79</v>
      </c>
      <c r="B35" s="1" t="s">
        <v>80</v>
      </c>
      <c r="C35" s="1" t="s">
        <v>16</v>
      </c>
      <c r="D35" s="1">
        <v>18</v>
      </c>
      <c r="E35" s="1" t="s">
        <v>13</v>
      </c>
      <c r="F35" s="1">
        <v>77</v>
      </c>
      <c r="G35" s="1">
        <v>61</v>
      </c>
      <c r="H35" t="str">
        <f>IF(Table1[[#This Row],[Exam Score]]&gt;75,"Pass","Fail")</f>
        <v>Pass</v>
      </c>
    </row>
    <row r="36" spans="1:8" x14ac:dyDescent="0.3">
      <c r="A36" s="1" t="s">
        <v>81</v>
      </c>
      <c r="B36" s="1" t="s">
        <v>82</v>
      </c>
      <c r="C36" s="1" t="s">
        <v>9</v>
      </c>
      <c r="D36" s="1">
        <v>19</v>
      </c>
      <c r="E36" s="1" t="s">
        <v>10</v>
      </c>
      <c r="F36" s="1">
        <v>81</v>
      </c>
      <c r="G36" s="1">
        <v>67</v>
      </c>
      <c r="H36" t="str">
        <f>IF(Table1[[#This Row],[Exam Score]]&gt;75,"Pass","Fail")</f>
        <v>Pass</v>
      </c>
    </row>
    <row r="37" spans="1:8" x14ac:dyDescent="0.3">
      <c r="A37" s="1" t="s">
        <v>83</v>
      </c>
      <c r="B37" s="1" t="s">
        <v>84</v>
      </c>
      <c r="C37" s="1" t="s">
        <v>16</v>
      </c>
      <c r="D37" s="1">
        <v>20</v>
      </c>
      <c r="E37" s="1" t="s">
        <v>17</v>
      </c>
      <c r="F37" s="1">
        <v>86</v>
      </c>
      <c r="G37" s="1">
        <v>93</v>
      </c>
      <c r="H37" t="str">
        <f>IF(Table1[[#This Row],[Exam Score]]&gt;75,"Pass","Fail")</f>
        <v>Pass</v>
      </c>
    </row>
    <row r="38" spans="1:8" x14ac:dyDescent="0.3">
      <c r="A38" s="1" t="s">
        <v>85</v>
      </c>
      <c r="B38" s="1" t="s">
        <v>86</v>
      </c>
      <c r="C38" s="1" t="s">
        <v>16</v>
      </c>
      <c r="D38" s="1">
        <v>18</v>
      </c>
      <c r="E38" s="1" t="s">
        <v>17</v>
      </c>
      <c r="F38" s="1">
        <v>66</v>
      </c>
      <c r="G38" s="1">
        <v>93</v>
      </c>
      <c r="H38" t="str">
        <f>IF(Table1[[#This Row],[Exam Score]]&gt;75,"Pass","Fail")</f>
        <v>Fail</v>
      </c>
    </row>
    <row r="39" spans="1:8" x14ac:dyDescent="0.3">
      <c r="A39" s="1" t="s">
        <v>87</v>
      </c>
      <c r="B39" s="1" t="s">
        <v>88</v>
      </c>
      <c r="C39" s="1" t="s">
        <v>9</v>
      </c>
      <c r="D39" s="1">
        <v>19</v>
      </c>
      <c r="E39" s="1" t="s">
        <v>24</v>
      </c>
      <c r="F39" s="1">
        <v>46</v>
      </c>
      <c r="G39" s="1">
        <v>89</v>
      </c>
      <c r="H39" t="str">
        <f>IF(Table1[[#This Row],[Exam Score]]&gt;75,"Pass","Fail")</f>
        <v>Fail</v>
      </c>
    </row>
    <row r="40" spans="1:8" x14ac:dyDescent="0.3">
      <c r="A40" s="1" t="s">
        <v>89</v>
      </c>
      <c r="B40" s="1" t="s">
        <v>90</v>
      </c>
      <c r="C40" s="1" t="s">
        <v>9</v>
      </c>
      <c r="D40" s="1">
        <v>20</v>
      </c>
      <c r="E40" s="1" t="s">
        <v>17</v>
      </c>
      <c r="F40" s="1">
        <v>80</v>
      </c>
      <c r="G40" s="1">
        <v>81</v>
      </c>
      <c r="H40" t="str">
        <f>IF(Table1[[#This Row],[Exam Score]]&gt;75,"Pass","Fail")</f>
        <v>Pass</v>
      </c>
    </row>
    <row r="41" spans="1:8" x14ac:dyDescent="0.3">
      <c r="A41" s="1" t="s">
        <v>91</v>
      </c>
      <c r="B41" s="1" t="s">
        <v>92</v>
      </c>
      <c r="C41" s="1" t="s">
        <v>16</v>
      </c>
      <c r="D41" s="1">
        <v>20</v>
      </c>
      <c r="E41" s="1" t="s">
        <v>24</v>
      </c>
      <c r="F41" s="1">
        <v>82</v>
      </c>
      <c r="G41" s="1">
        <v>83</v>
      </c>
      <c r="H41" t="str">
        <f>IF(Table1[[#This Row],[Exam Score]]&gt;75,"Pass","Fail")</f>
        <v>Pass</v>
      </c>
    </row>
    <row r="42" spans="1:8" x14ac:dyDescent="0.3">
      <c r="A42" s="1" t="s">
        <v>93</v>
      </c>
      <c r="B42" s="1" t="s">
        <v>94</v>
      </c>
      <c r="C42" s="1" t="s">
        <v>16</v>
      </c>
      <c r="D42" s="1">
        <v>19</v>
      </c>
      <c r="E42" s="1" t="s">
        <v>24</v>
      </c>
      <c r="F42" s="1">
        <v>56</v>
      </c>
      <c r="G42" s="1">
        <v>98</v>
      </c>
      <c r="H42" t="str">
        <f>IF(Table1[[#This Row],[Exam Score]]&gt;75,"Pass","Fail")</f>
        <v>Fail</v>
      </c>
    </row>
    <row r="43" spans="1:8" x14ac:dyDescent="0.3">
      <c r="A43" s="1" t="s">
        <v>95</v>
      </c>
      <c r="B43" s="1" t="s">
        <v>96</v>
      </c>
      <c r="C43" s="1" t="s">
        <v>16</v>
      </c>
      <c r="D43" s="1">
        <v>20</v>
      </c>
      <c r="E43" s="1" t="s">
        <v>24</v>
      </c>
      <c r="F43" s="1">
        <v>74</v>
      </c>
      <c r="G43" s="1">
        <v>85</v>
      </c>
      <c r="H43" t="str">
        <f>IF(Table1[[#This Row],[Exam Score]]&gt;75,"Pass","Fail")</f>
        <v>Fail</v>
      </c>
    </row>
    <row r="44" spans="1:8" x14ac:dyDescent="0.3">
      <c r="A44" s="1" t="s">
        <v>97</v>
      </c>
      <c r="B44" s="1" t="s">
        <v>98</v>
      </c>
      <c r="C44" s="1" t="s">
        <v>9</v>
      </c>
      <c r="D44" s="1">
        <v>18</v>
      </c>
      <c r="E44" s="1" t="s">
        <v>13</v>
      </c>
      <c r="F44" s="1">
        <v>50</v>
      </c>
      <c r="G44" s="1">
        <v>73</v>
      </c>
      <c r="H44" t="str">
        <f>IF(Table1[[#This Row],[Exam Score]]&gt;75,"Pass","Fail")</f>
        <v>Fail</v>
      </c>
    </row>
    <row r="45" spans="1:8" x14ac:dyDescent="0.3">
      <c r="A45" s="1" t="s">
        <v>99</v>
      </c>
      <c r="B45" s="1" t="s">
        <v>100</v>
      </c>
      <c r="C45" s="1" t="s">
        <v>9</v>
      </c>
      <c r="D45" s="1">
        <v>20</v>
      </c>
      <c r="E45" s="1" t="s">
        <v>17</v>
      </c>
      <c r="F45" s="1">
        <v>93</v>
      </c>
      <c r="G45" s="1">
        <v>62</v>
      </c>
      <c r="H45" t="str">
        <f>IF(Table1[[#This Row],[Exam Score]]&gt;75,"Pass","Fail")</f>
        <v>Pass</v>
      </c>
    </row>
    <row r="46" spans="1:8" x14ac:dyDescent="0.3">
      <c r="A46" s="1" t="s">
        <v>101</v>
      </c>
      <c r="B46" s="1" t="s">
        <v>102</v>
      </c>
      <c r="C46" s="1" t="s">
        <v>9</v>
      </c>
      <c r="D46" s="1">
        <v>18</v>
      </c>
      <c r="E46" s="1" t="s">
        <v>24</v>
      </c>
      <c r="F46" s="1">
        <v>93</v>
      </c>
      <c r="G46" s="1">
        <v>80</v>
      </c>
      <c r="H46" t="str">
        <f>IF(Table1[[#This Row],[Exam Score]]&gt;75,"Pass","Fail")</f>
        <v>Pass</v>
      </c>
    </row>
    <row r="47" spans="1:8" x14ac:dyDescent="0.3">
      <c r="A47" s="1" t="s">
        <v>103</v>
      </c>
      <c r="B47" s="1" t="s">
        <v>104</v>
      </c>
      <c r="C47" s="1" t="s">
        <v>9</v>
      </c>
      <c r="D47" s="1">
        <v>22</v>
      </c>
      <c r="E47" s="1" t="s">
        <v>13</v>
      </c>
      <c r="F47" s="1">
        <v>75</v>
      </c>
      <c r="G47" s="1">
        <v>100</v>
      </c>
      <c r="H47" t="str">
        <f>IF(Table1[[#This Row],[Exam Score]]&gt;75,"Pass","Fail")</f>
        <v>Fail</v>
      </c>
    </row>
    <row r="48" spans="1:8" x14ac:dyDescent="0.3">
      <c r="A48" s="1" t="s">
        <v>105</v>
      </c>
      <c r="B48" s="1" t="s">
        <v>60</v>
      </c>
      <c r="C48" s="1" t="s">
        <v>9</v>
      </c>
      <c r="D48" s="1">
        <v>20</v>
      </c>
      <c r="E48" s="1" t="s">
        <v>17</v>
      </c>
      <c r="F48" s="1">
        <v>70</v>
      </c>
      <c r="G48" s="1">
        <v>91</v>
      </c>
      <c r="H48" t="str">
        <f>IF(Table1[[#This Row],[Exam Score]]&gt;75,"Pass","Fail")</f>
        <v>Fail</v>
      </c>
    </row>
    <row r="49" spans="1:8" x14ac:dyDescent="0.3">
      <c r="A49" s="1" t="s">
        <v>106</v>
      </c>
      <c r="B49" s="1" t="s">
        <v>107</v>
      </c>
      <c r="C49" s="1" t="s">
        <v>9</v>
      </c>
      <c r="D49" s="1">
        <v>22</v>
      </c>
      <c r="E49" s="1" t="s">
        <v>13</v>
      </c>
      <c r="F49" s="1">
        <v>56</v>
      </c>
      <c r="G49" s="1">
        <v>68</v>
      </c>
      <c r="H49" t="str">
        <f>IF(Table1[[#This Row],[Exam Score]]&gt;75,"Pass","Fail")</f>
        <v>Fail</v>
      </c>
    </row>
    <row r="50" spans="1:8" x14ac:dyDescent="0.3">
      <c r="A50" s="1" t="s">
        <v>108</v>
      </c>
      <c r="B50" s="1" t="s">
        <v>109</v>
      </c>
      <c r="C50" s="1" t="s">
        <v>16</v>
      </c>
      <c r="D50" s="1">
        <v>19</v>
      </c>
      <c r="E50" s="1" t="s">
        <v>13</v>
      </c>
      <c r="F50" s="1">
        <v>88</v>
      </c>
      <c r="G50" s="1">
        <v>73</v>
      </c>
      <c r="H50" t="str">
        <f>IF(Table1[[#This Row],[Exam Score]]&gt;75,"Pass","Fail")</f>
        <v>Pass</v>
      </c>
    </row>
    <row r="51" spans="1:8" x14ac:dyDescent="0.3">
      <c r="A51" s="1" t="s">
        <v>110</v>
      </c>
      <c r="B51" s="1" t="s">
        <v>111</v>
      </c>
      <c r="C51" s="1" t="s">
        <v>9</v>
      </c>
      <c r="D51" s="1">
        <v>20</v>
      </c>
      <c r="E51" s="1" t="s">
        <v>24</v>
      </c>
      <c r="F51" s="1">
        <v>98</v>
      </c>
      <c r="G51" s="1">
        <v>85</v>
      </c>
      <c r="H51" t="str">
        <f>IF(Table1[[#This Row],[Exam Score]]&gt;75,"Pass","Fail")</f>
        <v>Pass</v>
      </c>
    </row>
    <row r="52" spans="1:8" x14ac:dyDescent="0.3">
      <c r="A52" s="1" t="s">
        <v>112</v>
      </c>
      <c r="B52" s="1" t="s">
        <v>113</v>
      </c>
      <c r="C52" s="1" t="s">
        <v>16</v>
      </c>
      <c r="D52" s="1">
        <v>22</v>
      </c>
      <c r="E52" s="1" t="s">
        <v>10</v>
      </c>
      <c r="F52" s="1">
        <v>48</v>
      </c>
      <c r="G52" s="1">
        <v>98</v>
      </c>
      <c r="H52" t="str">
        <f>IF(Table1[[#This Row],[Exam Score]]&gt;75,"Pass","Fail")</f>
        <v>Fail</v>
      </c>
    </row>
    <row r="53" spans="1:8" x14ac:dyDescent="0.3">
      <c r="A53" s="1" t="s">
        <v>114</v>
      </c>
      <c r="B53" s="1" t="s">
        <v>115</v>
      </c>
      <c r="C53" s="1" t="s">
        <v>9</v>
      </c>
      <c r="D53" s="1">
        <v>19</v>
      </c>
      <c r="E53" s="1" t="s">
        <v>10</v>
      </c>
      <c r="F53" s="1">
        <v>76</v>
      </c>
      <c r="G53" s="1">
        <v>74</v>
      </c>
      <c r="H53" t="str">
        <f>IF(Table1[[#This Row],[Exam Score]]&gt;75,"Pass","Fail")</f>
        <v>Pass</v>
      </c>
    </row>
    <row r="54" spans="1:8" x14ac:dyDescent="0.3">
      <c r="A54" s="1" t="s">
        <v>116</v>
      </c>
      <c r="B54" s="1" t="s">
        <v>117</v>
      </c>
      <c r="C54" s="1" t="s">
        <v>16</v>
      </c>
      <c r="D54" s="1">
        <v>18</v>
      </c>
      <c r="E54" s="1" t="s">
        <v>24</v>
      </c>
      <c r="F54" s="1">
        <v>91</v>
      </c>
      <c r="G54" s="1">
        <v>72</v>
      </c>
      <c r="H54" t="str">
        <f>IF(Table1[[#This Row],[Exam Score]]&gt;75,"Pass","Fail")</f>
        <v>Pass</v>
      </c>
    </row>
    <row r="55" spans="1:8" x14ac:dyDescent="0.3">
      <c r="A55" s="1" t="s">
        <v>118</v>
      </c>
      <c r="B55" s="1" t="s">
        <v>119</v>
      </c>
      <c r="C55" s="1" t="s">
        <v>9</v>
      </c>
      <c r="D55" s="1">
        <v>20</v>
      </c>
      <c r="E55" s="1" t="s">
        <v>10</v>
      </c>
      <c r="F55" s="1">
        <v>83</v>
      </c>
      <c r="G55" s="1">
        <v>96</v>
      </c>
      <c r="H55" t="str">
        <f>IF(Table1[[#This Row],[Exam Score]]&gt;75,"Pass","Fail")</f>
        <v>Pass</v>
      </c>
    </row>
    <row r="56" spans="1:8" x14ac:dyDescent="0.3">
      <c r="A56" s="1" t="s">
        <v>120</v>
      </c>
      <c r="B56" s="1" t="s">
        <v>121</v>
      </c>
      <c r="C56" s="1" t="s">
        <v>16</v>
      </c>
      <c r="D56" s="1">
        <v>18</v>
      </c>
      <c r="E56" s="1" t="s">
        <v>10</v>
      </c>
      <c r="F56" s="1">
        <v>84</v>
      </c>
      <c r="G56" s="1">
        <v>79</v>
      </c>
      <c r="H56" t="str">
        <f>IF(Table1[[#This Row],[Exam Score]]&gt;75,"Pass","Fail")</f>
        <v>Pass</v>
      </c>
    </row>
    <row r="57" spans="1:8" x14ac:dyDescent="0.3">
      <c r="A57" s="1" t="s">
        <v>122</v>
      </c>
      <c r="B57" s="1" t="s">
        <v>30</v>
      </c>
      <c r="C57" s="1" t="s">
        <v>9</v>
      </c>
      <c r="D57" s="1">
        <v>19</v>
      </c>
      <c r="E57" s="1" t="s">
        <v>10</v>
      </c>
      <c r="F57" s="1">
        <v>82</v>
      </c>
      <c r="G57" s="1">
        <v>60</v>
      </c>
      <c r="H57" t="str">
        <f>IF(Table1[[#This Row],[Exam Score]]&gt;75,"Pass","Fail")</f>
        <v>Pass</v>
      </c>
    </row>
    <row r="58" spans="1:8" x14ac:dyDescent="0.3">
      <c r="A58" s="1" t="s">
        <v>123</v>
      </c>
      <c r="B58" s="1" t="s">
        <v>124</v>
      </c>
      <c r="C58" s="1" t="s">
        <v>16</v>
      </c>
      <c r="D58" s="1">
        <v>22</v>
      </c>
      <c r="E58" s="1" t="s">
        <v>13</v>
      </c>
      <c r="F58" s="1">
        <v>76</v>
      </c>
      <c r="G58" s="1">
        <v>89</v>
      </c>
      <c r="H58" t="str">
        <f>IF(Table1[[#This Row],[Exam Score]]&gt;75,"Pass","Fail")</f>
        <v>Pass</v>
      </c>
    </row>
    <row r="59" spans="1:8" x14ac:dyDescent="0.3">
      <c r="A59" s="1" t="s">
        <v>125</v>
      </c>
      <c r="B59" s="1" t="s">
        <v>126</v>
      </c>
      <c r="C59" s="1" t="s">
        <v>9</v>
      </c>
      <c r="D59" s="1">
        <v>19</v>
      </c>
      <c r="E59" s="1" t="s">
        <v>24</v>
      </c>
      <c r="F59" s="1">
        <v>62</v>
      </c>
      <c r="G59" s="1">
        <v>61</v>
      </c>
      <c r="H59" t="str">
        <f>IF(Table1[[#This Row],[Exam Score]]&gt;75,"Pass","Fail")</f>
        <v>Fail</v>
      </c>
    </row>
    <row r="60" spans="1:8" x14ac:dyDescent="0.3">
      <c r="A60" s="1" t="s">
        <v>127</v>
      </c>
      <c r="B60" s="1" t="s">
        <v>119</v>
      </c>
      <c r="C60" s="1" t="s">
        <v>9</v>
      </c>
      <c r="D60" s="1">
        <v>19</v>
      </c>
      <c r="E60" s="1" t="s">
        <v>13</v>
      </c>
      <c r="F60" s="1">
        <v>100</v>
      </c>
      <c r="G60" s="1">
        <v>61</v>
      </c>
      <c r="H60" t="str">
        <f>IF(Table1[[#This Row],[Exam Score]]&gt;75,"Pass","Fail")</f>
        <v>Pass</v>
      </c>
    </row>
    <row r="61" spans="1:8" x14ac:dyDescent="0.3">
      <c r="A61" s="1" t="s">
        <v>128</v>
      </c>
      <c r="B61" s="1" t="s">
        <v>113</v>
      </c>
      <c r="C61" s="1" t="s">
        <v>16</v>
      </c>
      <c r="D61" s="1">
        <v>20</v>
      </c>
      <c r="E61" s="1" t="s">
        <v>13</v>
      </c>
      <c r="F61" s="1">
        <v>75</v>
      </c>
      <c r="G61" s="1">
        <v>75</v>
      </c>
      <c r="H61" t="str">
        <f>IF(Table1[[#This Row],[Exam Score]]&gt;75,"Pass","Fail")</f>
        <v>Fail</v>
      </c>
    </row>
    <row r="62" spans="1:8" x14ac:dyDescent="0.3">
      <c r="A62" s="1" t="s">
        <v>129</v>
      </c>
      <c r="B62" s="1" t="s">
        <v>130</v>
      </c>
      <c r="C62" s="1" t="s">
        <v>16</v>
      </c>
      <c r="D62" s="1">
        <v>19</v>
      </c>
      <c r="E62" s="1" t="s">
        <v>13</v>
      </c>
      <c r="F62" s="1">
        <v>49</v>
      </c>
      <c r="G62" s="1">
        <v>85</v>
      </c>
      <c r="H62" t="str">
        <f>IF(Table1[[#This Row],[Exam Score]]&gt;75,"Pass","Fail")</f>
        <v>Fail</v>
      </c>
    </row>
    <row r="63" spans="1:8" x14ac:dyDescent="0.3">
      <c r="A63" s="1" t="s">
        <v>131</v>
      </c>
      <c r="B63" s="1" t="s">
        <v>132</v>
      </c>
      <c r="C63" s="1" t="s">
        <v>9</v>
      </c>
      <c r="D63" s="1">
        <v>18</v>
      </c>
      <c r="E63" s="1" t="s">
        <v>13</v>
      </c>
      <c r="F63" s="1">
        <v>86</v>
      </c>
      <c r="G63" s="1">
        <v>93</v>
      </c>
      <c r="H63" t="str">
        <f>IF(Table1[[#This Row],[Exam Score]]&gt;75,"Pass","Fail")</f>
        <v>Pass</v>
      </c>
    </row>
    <row r="64" spans="1:8" x14ac:dyDescent="0.3">
      <c r="A64" s="1" t="s">
        <v>133</v>
      </c>
      <c r="B64" s="1" t="s">
        <v>134</v>
      </c>
      <c r="C64" s="1" t="s">
        <v>9</v>
      </c>
      <c r="D64" s="1">
        <v>21</v>
      </c>
      <c r="E64" s="1" t="s">
        <v>13</v>
      </c>
      <c r="F64" s="1">
        <v>73</v>
      </c>
      <c r="G64" s="1">
        <v>66</v>
      </c>
      <c r="H64" t="str">
        <f>IF(Table1[[#This Row],[Exam Score]]&gt;75,"Pass","Fail")</f>
        <v>Fail</v>
      </c>
    </row>
    <row r="65" spans="1:8" x14ac:dyDescent="0.3">
      <c r="A65" s="1" t="s">
        <v>135</v>
      </c>
      <c r="B65" s="1" t="s">
        <v>136</v>
      </c>
      <c r="C65" s="1" t="s">
        <v>9</v>
      </c>
      <c r="D65" s="1">
        <v>18</v>
      </c>
      <c r="E65" s="1" t="s">
        <v>13</v>
      </c>
      <c r="F65" s="1">
        <v>78</v>
      </c>
      <c r="G65" s="1">
        <v>98</v>
      </c>
      <c r="H65" t="str">
        <f>IF(Table1[[#This Row],[Exam Score]]&gt;75,"Pass","Fail")</f>
        <v>Pass</v>
      </c>
    </row>
    <row r="66" spans="1:8" x14ac:dyDescent="0.3">
      <c r="A66" s="1" t="s">
        <v>137</v>
      </c>
      <c r="B66" s="1" t="s">
        <v>138</v>
      </c>
      <c r="C66" s="1" t="s">
        <v>9</v>
      </c>
      <c r="D66" s="1">
        <v>21</v>
      </c>
      <c r="E66" s="1" t="s">
        <v>24</v>
      </c>
      <c r="F66" s="1">
        <v>64</v>
      </c>
      <c r="G66" s="1">
        <v>87</v>
      </c>
      <c r="H66" t="str">
        <f>IF(Table1[[#This Row],[Exam Score]]&gt;75,"Pass","Fail")</f>
        <v>Fail</v>
      </c>
    </row>
    <row r="67" spans="1:8" x14ac:dyDescent="0.3">
      <c r="A67" s="1" t="s">
        <v>139</v>
      </c>
      <c r="B67" s="1" t="s">
        <v>140</v>
      </c>
      <c r="C67" s="1" t="s">
        <v>16</v>
      </c>
      <c r="D67" s="1">
        <v>18</v>
      </c>
      <c r="E67" s="1" t="s">
        <v>24</v>
      </c>
      <c r="F67" s="1">
        <v>63</v>
      </c>
      <c r="G67" s="1">
        <v>68</v>
      </c>
      <c r="H67" t="str">
        <f>IF(Table1[[#This Row],[Exam Score]]&gt;75,"Pass","Fail")</f>
        <v>Fail</v>
      </c>
    </row>
    <row r="68" spans="1:8" x14ac:dyDescent="0.3">
      <c r="A68" s="1" t="s">
        <v>141</v>
      </c>
      <c r="B68" s="1" t="s">
        <v>142</v>
      </c>
      <c r="C68" s="1" t="s">
        <v>9</v>
      </c>
      <c r="D68" s="1">
        <v>20</v>
      </c>
      <c r="E68" s="1" t="s">
        <v>17</v>
      </c>
      <c r="F68" s="1">
        <v>48</v>
      </c>
      <c r="G68" s="1">
        <v>85</v>
      </c>
      <c r="H68" t="str">
        <f>IF(Table1[[#This Row],[Exam Score]]&gt;75,"Pass","Fail")</f>
        <v>Fail</v>
      </c>
    </row>
    <row r="69" spans="1:8" x14ac:dyDescent="0.3">
      <c r="A69" s="1" t="s">
        <v>143</v>
      </c>
      <c r="B69" s="1" t="s">
        <v>144</v>
      </c>
      <c r="C69" s="1" t="s">
        <v>16</v>
      </c>
      <c r="D69" s="1">
        <v>22</v>
      </c>
      <c r="E69" s="1" t="s">
        <v>17</v>
      </c>
      <c r="F69" s="1">
        <v>54</v>
      </c>
      <c r="G69" s="1">
        <v>62</v>
      </c>
      <c r="H69" t="str">
        <f>IF(Table1[[#This Row],[Exam Score]]&gt;75,"Pass","Fail")</f>
        <v>Fail</v>
      </c>
    </row>
    <row r="70" spans="1:8" x14ac:dyDescent="0.3">
      <c r="A70" s="1" t="s">
        <v>145</v>
      </c>
      <c r="B70" s="1" t="s">
        <v>146</v>
      </c>
      <c r="C70" s="1" t="s">
        <v>9</v>
      </c>
      <c r="D70" s="1">
        <v>22</v>
      </c>
      <c r="E70" s="1" t="s">
        <v>17</v>
      </c>
      <c r="F70" s="1">
        <v>78</v>
      </c>
      <c r="G70" s="1">
        <v>92</v>
      </c>
      <c r="H70" t="str">
        <f>IF(Table1[[#This Row],[Exam Score]]&gt;75,"Pass","Fail")</f>
        <v>Pass</v>
      </c>
    </row>
    <row r="71" spans="1:8" x14ac:dyDescent="0.3">
      <c r="A71" s="1" t="s">
        <v>147</v>
      </c>
      <c r="B71" s="1" t="s">
        <v>12</v>
      </c>
      <c r="C71" s="1" t="s">
        <v>9</v>
      </c>
      <c r="D71" s="1">
        <v>21</v>
      </c>
      <c r="E71" s="1" t="s">
        <v>17</v>
      </c>
      <c r="F71" s="1">
        <v>45</v>
      </c>
      <c r="G71" s="1">
        <v>98</v>
      </c>
      <c r="H71" t="str">
        <f>IF(Table1[[#This Row],[Exam Score]]&gt;75,"Pass","Fail")</f>
        <v>Fail</v>
      </c>
    </row>
    <row r="72" spans="1:8" x14ac:dyDescent="0.3">
      <c r="A72" s="1" t="s">
        <v>148</v>
      </c>
      <c r="B72" s="1" t="s">
        <v>149</v>
      </c>
      <c r="C72" s="1" t="s">
        <v>16</v>
      </c>
      <c r="D72" s="1">
        <v>20</v>
      </c>
      <c r="E72" s="1" t="s">
        <v>24</v>
      </c>
      <c r="F72" s="1">
        <v>90</v>
      </c>
      <c r="G72" s="1">
        <v>60</v>
      </c>
      <c r="H72" t="str">
        <f>IF(Table1[[#This Row],[Exam Score]]&gt;75,"Pass","Fail")</f>
        <v>Pass</v>
      </c>
    </row>
    <row r="73" spans="1:8" x14ac:dyDescent="0.3">
      <c r="A73" s="1" t="s">
        <v>150</v>
      </c>
      <c r="B73" s="1" t="s">
        <v>78</v>
      </c>
      <c r="C73" s="1" t="s">
        <v>9</v>
      </c>
      <c r="D73" s="1">
        <v>21</v>
      </c>
      <c r="E73" s="1" t="s">
        <v>17</v>
      </c>
      <c r="F73" s="1">
        <v>61</v>
      </c>
      <c r="G73" s="1">
        <v>68</v>
      </c>
      <c r="H73" t="str">
        <f>IF(Table1[[#This Row],[Exam Score]]&gt;75,"Pass","Fail")</f>
        <v>Fail</v>
      </c>
    </row>
    <row r="74" spans="1:8" x14ac:dyDescent="0.3">
      <c r="A74" s="1" t="s">
        <v>151</v>
      </c>
      <c r="B74" s="1" t="s">
        <v>144</v>
      </c>
      <c r="C74" s="1" t="s">
        <v>16</v>
      </c>
      <c r="D74" s="1">
        <v>21</v>
      </c>
      <c r="E74" s="1" t="s">
        <v>10</v>
      </c>
      <c r="F74" s="1">
        <v>71</v>
      </c>
      <c r="G74" s="1">
        <v>69</v>
      </c>
      <c r="H74" t="str">
        <f>IF(Table1[[#This Row],[Exam Score]]&gt;75,"Pass","Fail")</f>
        <v>Fail</v>
      </c>
    </row>
    <row r="75" spans="1:8" x14ac:dyDescent="0.3">
      <c r="A75" s="1" t="s">
        <v>152</v>
      </c>
      <c r="B75" s="1" t="s">
        <v>153</v>
      </c>
      <c r="C75" s="1" t="s">
        <v>16</v>
      </c>
      <c r="D75" s="1">
        <v>20</v>
      </c>
      <c r="E75" s="1" t="s">
        <v>13</v>
      </c>
      <c r="F75" s="1">
        <v>58</v>
      </c>
      <c r="G75" s="1">
        <v>87</v>
      </c>
      <c r="H75" t="str">
        <f>IF(Table1[[#This Row],[Exam Score]]&gt;75,"Pass","Fail")</f>
        <v>Fail</v>
      </c>
    </row>
    <row r="76" spans="1:8" x14ac:dyDescent="0.3">
      <c r="A76" s="1" t="s">
        <v>154</v>
      </c>
      <c r="B76" s="1" t="s">
        <v>155</v>
      </c>
      <c r="C76" s="1" t="s">
        <v>16</v>
      </c>
      <c r="D76" s="1">
        <v>18</v>
      </c>
      <c r="E76" s="1" t="s">
        <v>13</v>
      </c>
      <c r="F76" s="1">
        <v>96</v>
      </c>
      <c r="G76" s="1">
        <v>80</v>
      </c>
      <c r="H76" t="str">
        <f>IF(Table1[[#This Row],[Exam Score]]&gt;75,"Pass","Fail")</f>
        <v>Pass</v>
      </c>
    </row>
    <row r="77" spans="1:8" x14ac:dyDescent="0.3">
      <c r="A77" s="1" t="s">
        <v>156</v>
      </c>
      <c r="B77" s="1" t="s">
        <v>157</v>
      </c>
      <c r="C77" s="1" t="s">
        <v>16</v>
      </c>
      <c r="D77" s="1">
        <v>22</v>
      </c>
      <c r="E77" s="1" t="s">
        <v>24</v>
      </c>
      <c r="F77" s="1">
        <v>65</v>
      </c>
      <c r="G77" s="1">
        <v>95</v>
      </c>
      <c r="H77" t="str">
        <f>IF(Table1[[#This Row],[Exam Score]]&gt;75,"Pass","Fail")</f>
        <v>Fail</v>
      </c>
    </row>
    <row r="78" spans="1:8" x14ac:dyDescent="0.3">
      <c r="A78" s="1" t="s">
        <v>158</v>
      </c>
      <c r="B78" s="1" t="s">
        <v>159</v>
      </c>
      <c r="C78" s="1" t="s">
        <v>9</v>
      </c>
      <c r="D78" s="1">
        <v>20</v>
      </c>
      <c r="E78" s="1" t="s">
        <v>24</v>
      </c>
      <c r="F78" s="1">
        <v>56</v>
      </c>
      <c r="G78" s="1">
        <v>81</v>
      </c>
      <c r="H78" t="str">
        <f>IF(Table1[[#This Row],[Exam Score]]&gt;75,"Pass","Fail")</f>
        <v>Fail</v>
      </c>
    </row>
    <row r="79" spans="1:8" x14ac:dyDescent="0.3">
      <c r="A79" s="1" t="s">
        <v>160</v>
      </c>
      <c r="B79" s="1" t="s">
        <v>161</v>
      </c>
      <c r="C79" s="1" t="s">
        <v>16</v>
      </c>
      <c r="D79" s="1">
        <v>18</v>
      </c>
      <c r="E79" s="1" t="s">
        <v>13</v>
      </c>
      <c r="F79" s="1">
        <v>96</v>
      </c>
      <c r="G79" s="1">
        <v>60</v>
      </c>
      <c r="H79" t="str">
        <f>IF(Table1[[#This Row],[Exam Score]]&gt;75,"Pass","Fail")</f>
        <v>Pass</v>
      </c>
    </row>
    <row r="80" spans="1:8" x14ac:dyDescent="0.3">
      <c r="A80" s="1" t="s">
        <v>162</v>
      </c>
      <c r="B80" s="1" t="s">
        <v>163</v>
      </c>
      <c r="C80" s="1" t="s">
        <v>16</v>
      </c>
      <c r="D80" s="1">
        <v>21</v>
      </c>
      <c r="E80" s="1" t="s">
        <v>13</v>
      </c>
      <c r="F80" s="1">
        <v>87</v>
      </c>
      <c r="G80" s="1">
        <v>75</v>
      </c>
      <c r="H80" t="str">
        <f>IF(Table1[[#This Row],[Exam Score]]&gt;75,"Pass","Fail")</f>
        <v>Pass</v>
      </c>
    </row>
    <row r="81" spans="1:8" x14ac:dyDescent="0.3">
      <c r="A81" s="1" t="s">
        <v>164</v>
      </c>
      <c r="B81" s="1" t="s">
        <v>165</v>
      </c>
      <c r="C81" s="1" t="s">
        <v>9</v>
      </c>
      <c r="D81" s="1">
        <v>21</v>
      </c>
      <c r="E81" s="1" t="s">
        <v>17</v>
      </c>
      <c r="F81" s="1">
        <v>75</v>
      </c>
      <c r="G81" s="1">
        <v>76</v>
      </c>
      <c r="H81" t="str">
        <f>IF(Table1[[#This Row],[Exam Score]]&gt;75,"Pass","Fail")</f>
        <v>Fail</v>
      </c>
    </row>
    <row r="82" spans="1:8" x14ac:dyDescent="0.3">
      <c r="A82" s="1" t="s">
        <v>166</v>
      </c>
      <c r="B82" s="1" t="s">
        <v>82</v>
      </c>
      <c r="C82" s="1" t="s">
        <v>9</v>
      </c>
      <c r="D82" s="1">
        <v>19</v>
      </c>
      <c r="E82" s="1" t="s">
        <v>13</v>
      </c>
      <c r="F82" s="1">
        <v>74</v>
      </c>
      <c r="G82" s="1">
        <v>71</v>
      </c>
      <c r="H82" t="str">
        <f>IF(Table1[[#This Row],[Exam Score]]&gt;75,"Pass","Fail")</f>
        <v>Fail</v>
      </c>
    </row>
    <row r="83" spans="1:8" x14ac:dyDescent="0.3">
      <c r="A83" s="1" t="s">
        <v>167</v>
      </c>
      <c r="B83" s="1" t="s">
        <v>144</v>
      </c>
      <c r="C83" s="1" t="s">
        <v>16</v>
      </c>
      <c r="D83" s="1">
        <v>19</v>
      </c>
      <c r="E83" s="1" t="s">
        <v>13</v>
      </c>
      <c r="F83" s="1">
        <v>51</v>
      </c>
      <c r="G83" s="1">
        <v>84</v>
      </c>
      <c r="H83" t="str">
        <f>IF(Table1[[#This Row],[Exam Score]]&gt;75,"Pass","Fail")</f>
        <v>Fail</v>
      </c>
    </row>
    <row r="84" spans="1:8" x14ac:dyDescent="0.3">
      <c r="A84" s="1" t="s">
        <v>168</v>
      </c>
      <c r="B84" s="1" t="s">
        <v>169</v>
      </c>
      <c r="C84" s="1" t="s">
        <v>16</v>
      </c>
      <c r="D84" s="1">
        <v>18</v>
      </c>
      <c r="E84" s="1" t="s">
        <v>13</v>
      </c>
      <c r="F84" s="1">
        <v>89</v>
      </c>
      <c r="G84" s="1">
        <v>91</v>
      </c>
      <c r="H84" t="str">
        <f>IF(Table1[[#This Row],[Exam Score]]&gt;75,"Pass","Fail")</f>
        <v>Pass</v>
      </c>
    </row>
    <row r="85" spans="1:8" x14ac:dyDescent="0.3">
      <c r="A85" s="1" t="s">
        <v>170</v>
      </c>
      <c r="B85" s="1" t="s">
        <v>171</v>
      </c>
      <c r="C85" s="1" t="s">
        <v>16</v>
      </c>
      <c r="D85" s="1">
        <v>19</v>
      </c>
      <c r="E85" s="1" t="s">
        <v>13</v>
      </c>
      <c r="F85" s="1">
        <v>46</v>
      </c>
      <c r="G85" s="1">
        <v>60</v>
      </c>
      <c r="H85" t="str">
        <f>IF(Table1[[#This Row],[Exam Score]]&gt;75,"Pass","Fail")</f>
        <v>Fail</v>
      </c>
    </row>
    <row r="86" spans="1:8" x14ac:dyDescent="0.3">
      <c r="A86" s="1" t="s">
        <v>172</v>
      </c>
      <c r="B86" s="1" t="s">
        <v>173</v>
      </c>
      <c r="C86" s="1" t="s">
        <v>9</v>
      </c>
      <c r="D86" s="1">
        <v>20</v>
      </c>
      <c r="E86" s="1" t="s">
        <v>24</v>
      </c>
      <c r="F86" s="1">
        <v>99</v>
      </c>
      <c r="G86" s="1">
        <v>87</v>
      </c>
      <c r="H86" t="str">
        <f>IF(Table1[[#This Row],[Exam Score]]&gt;75,"Pass","Fail")</f>
        <v>Pass</v>
      </c>
    </row>
    <row r="87" spans="1:8" x14ac:dyDescent="0.3">
      <c r="A87" s="1" t="s">
        <v>174</v>
      </c>
      <c r="B87" s="1" t="s">
        <v>175</v>
      </c>
      <c r="C87" s="1" t="s">
        <v>9</v>
      </c>
      <c r="D87" s="1">
        <v>20</v>
      </c>
      <c r="E87" s="1" t="s">
        <v>13</v>
      </c>
      <c r="F87" s="1">
        <v>97</v>
      </c>
      <c r="G87" s="1">
        <v>96</v>
      </c>
      <c r="H87" t="str">
        <f>IF(Table1[[#This Row],[Exam Score]]&gt;75,"Pass","Fail")</f>
        <v>Pass</v>
      </c>
    </row>
    <row r="88" spans="1:8" x14ac:dyDescent="0.3">
      <c r="A88" s="1" t="s">
        <v>176</v>
      </c>
      <c r="B88" s="1" t="s">
        <v>159</v>
      </c>
      <c r="C88" s="1" t="s">
        <v>9</v>
      </c>
      <c r="D88" s="1">
        <v>18</v>
      </c>
      <c r="E88" s="1" t="s">
        <v>13</v>
      </c>
      <c r="F88" s="1">
        <v>55</v>
      </c>
      <c r="G88" s="1">
        <v>86</v>
      </c>
      <c r="H88" t="str">
        <f>IF(Table1[[#This Row],[Exam Score]]&gt;75,"Pass","Fail")</f>
        <v>Fail</v>
      </c>
    </row>
    <row r="89" spans="1:8" x14ac:dyDescent="0.3">
      <c r="A89" s="1" t="s">
        <v>177</v>
      </c>
      <c r="B89" s="1" t="s">
        <v>80</v>
      </c>
      <c r="C89" s="1" t="s">
        <v>16</v>
      </c>
      <c r="D89" s="1">
        <v>22</v>
      </c>
      <c r="E89" s="1" t="s">
        <v>24</v>
      </c>
      <c r="F89" s="1">
        <v>89</v>
      </c>
      <c r="G89" s="1">
        <v>63</v>
      </c>
      <c r="H89" t="str">
        <f>IF(Table1[[#This Row],[Exam Score]]&gt;75,"Pass","Fail")</f>
        <v>Pass</v>
      </c>
    </row>
    <row r="90" spans="1:8" x14ac:dyDescent="0.3">
      <c r="A90" s="1" t="s">
        <v>178</v>
      </c>
      <c r="B90" s="1" t="s">
        <v>179</v>
      </c>
      <c r="C90" s="1" t="s">
        <v>16</v>
      </c>
      <c r="D90" s="1">
        <v>18</v>
      </c>
      <c r="E90" s="1" t="s">
        <v>24</v>
      </c>
      <c r="F90" s="1">
        <v>82</v>
      </c>
      <c r="G90" s="1">
        <v>78</v>
      </c>
      <c r="H90" t="str">
        <f>IF(Table1[[#This Row],[Exam Score]]&gt;75,"Pass","Fail")</f>
        <v>Pass</v>
      </c>
    </row>
    <row r="91" spans="1:8" x14ac:dyDescent="0.3">
      <c r="A91" s="1" t="s">
        <v>180</v>
      </c>
      <c r="B91" s="1" t="s">
        <v>181</v>
      </c>
      <c r="C91" s="1" t="s">
        <v>16</v>
      </c>
      <c r="D91" s="1">
        <v>22</v>
      </c>
      <c r="E91" s="1" t="s">
        <v>24</v>
      </c>
      <c r="F91" s="1">
        <v>99</v>
      </c>
      <c r="G91" s="1">
        <v>80</v>
      </c>
      <c r="H91" t="str">
        <f>IF(Table1[[#This Row],[Exam Score]]&gt;75,"Pass","Fail")</f>
        <v>Pass</v>
      </c>
    </row>
    <row r="92" spans="1:8" x14ac:dyDescent="0.3">
      <c r="A92" s="1" t="s">
        <v>182</v>
      </c>
      <c r="B92" s="1" t="s">
        <v>183</v>
      </c>
      <c r="C92" s="1" t="s">
        <v>16</v>
      </c>
      <c r="D92" s="1">
        <v>22</v>
      </c>
      <c r="E92" s="1" t="s">
        <v>17</v>
      </c>
      <c r="F92" s="1">
        <v>94</v>
      </c>
      <c r="G92" s="1">
        <v>82</v>
      </c>
      <c r="H92" t="str">
        <f>IF(Table1[[#This Row],[Exam Score]]&gt;75,"Pass","Fail")</f>
        <v>Pass</v>
      </c>
    </row>
    <row r="93" spans="1:8" x14ac:dyDescent="0.3">
      <c r="A93" s="1" t="s">
        <v>184</v>
      </c>
      <c r="B93" s="1" t="s">
        <v>185</v>
      </c>
      <c r="C93" s="1" t="s">
        <v>9</v>
      </c>
      <c r="D93" s="1">
        <v>18</v>
      </c>
      <c r="E93" s="1" t="s">
        <v>17</v>
      </c>
      <c r="F93" s="1">
        <v>98</v>
      </c>
      <c r="G93" s="1">
        <v>91</v>
      </c>
      <c r="H93" t="str">
        <f>IF(Table1[[#This Row],[Exam Score]]&gt;75,"Pass","Fail")</f>
        <v>Pass</v>
      </c>
    </row>
    <row r="94" spans="1:8" x14ac:dyDescent="0.3">
      <c r="A94" s="1" t="s">
        <v>186</v>
      </c>
      <c r="B94" s="1" t="s">
        <v>187</v>
      </c>
      <c r="C94" s="1" t="s">
        <v>16</v>
      </c>
      <c r="D94" s="1">
        <v>19</v>
      </c>
      <c r="E94" s="1" t="s">
        <v>13</v>
      </c>
      <c r="F94" s="1">
        <v>75</v>
      </c>
      <c r="G94" s="1">
        <v>71</v>
      </c>
      <c r="H94" t="str">
        <f>IF(Table1[[#This Row],[Exam Score]]&gt;75,"Pass","Fail")</f>
        <v>Fail</v>
      </c>
    </row>
    <row r="95" spans="1:8" x14ac:dyDescent="0.3">
      <c r="A95" s="1" t="s">
        <v>188</v>
      </c>
      <c r="B95" s="1" t="s">
        <v>140</v>
      </c>
      <c r="C95" s="1" t="s">
        <v>16</v>
      </c>
      <c r="D95" s="1">
        <v>21</v>
      </c>
      <c r="E95" s="1" t="s">
        <v>13</v>
      </c>
      <c r="F95" s="1">
        <v>54</v>
      </c>
      <c r="G95" s="1">
        <v>71</v>
      </c>
      <c r="H95" t="str">
        <f>IF(Table1[[#This Row],[Exam Score]]&gt;75,"Pass","Fail")</f>
        <v>Fail</v>
      </c>
    </row>
    <row r="96" spans="1:8" x14ac:dyDescent="0.3">
      <c r="A96" s="1" t="s">
        <v>189</v>
      </c>
      <c r="B96" s="1" t="s">
        <v>190</v>
      </c>
      <c r="C96" s="1" t="s">
        <v>16</v>
      </c>
      <c r="D96" s="1">
        <v>19</v>
      </c>
      <c r="E96" s="1" t="s">
        <v>13</v>
      </c>
      <c r="F96" s="1">
        <v>51</v>
      </c>
      <c r="G96" s="1">
        <v>88</v>
      </c>
      <c r="H96" t="str">
        <f>IF(Table1[[#This Row],[Exam Score]]&gt;75,"Pass","Fail")</f>
        <v>Fail</v>
      </c>
    </row>
    <row r="97" spans="1:8" x14ac:dyDescent="0.3">
      <c r="A97" s="1" t="s">
        <v>191</v>
      </c>
      <c r="B97" s="1" t="s">
        <v>28</v>
      </c>
      <c r="C97" s="1" t="s">
        <v>16</v>
      </c>
      <c r="D97" s="1">
        <v>19</v>
      </c>
      <c r="E97" s="1" t="s">
        <v>10</v>
      </c>
      <c r="F97" s="1">
        <v>69</v>
      </c>
      <c r="G97" s="1">
        <v>92</v>
      </c>
      <c r="H97" t="str">
        <f>IF(Table1[[#This Row],[Exam Score]]&gt;75,"Pass","Fail")</f>
        <v>Fail</v>
      </c>
    </row>
    <row r="98" spans="1:8" x14ac:dyDescent="0.3">
      <c r="A98" s="1" t="s">
        <v>192</v>
      </c>
      <c r="B98" s="1" t="s">
        <v>193</v>
      </c>
      <c r="C98" s="1" t="s">
        <v>16</v>
      </c>
      <c r="D98" s="1">
        <v>20</v>
      </c>
      <c r="E98" s="1" t="s">
        <v>17</v>
      </c>
      <c r="F98" s="1">
        <v>80</v>
      </c>
      <c r="G98" s="1">
        <v>100</v>
      </c>
      <c r="H98" t="str">
        <f>IF(Table1[[#This Row],[Exam Score]]&gt;75,"Pass","Fail")</f>
        <v>Pass</v>
      </c>
    </row>
    <row r="99" spans="1:8" x14ac:dyDescent="0.3">
      <c r="A99" s="1" t="s">
        <v>194</v>
      </c>
      <c r="B99" s="1" t="s">
        <v>195</v>
      </c>
      <c r="C99" s="1" t="s">
        <v>16</v>
      </c>
      <c r="D99" s="1">
        <v>21</v>
      </c>
      <c r="E99" s="1" t="s">
        <v>24</v>
      </c>
      <c r="F99" s="1">
        <v>61</v>
      </c>
      <c r="G99" s="1">
        <v>94</v>
      </c>
      <c r="H99" t="str">
        <f>IF(Table1[[#This Row],[Exam Score]]&gt;75,"Pass","Fail")</f>
        <v>Fail</v>
      </c>
    </row>
    <row r="100" spans="1:8" x14ac:dyDescent="0.3">
      <c r="A100" s="1" t="s">
        <v>196</v>
      </c>
      <c r="B100" s="1" t="s">
        <v>171</v>
      </c>
      <c r="C100" s="1" t="s">
        <v>16</v>
      </c>
      <c r="D100" s="1">
        <v>20</v>
      </c>
      <c r="E100" s="1" t="s">
        <v>10</v>
      </c>
      <c r="F100" s="1">
        <v>74</v>
      </c>
      <c r="G100" s="1">
        <v>76</v>
      </c>
      <c r="H100" t="str">
        <f>IF(Table1[[#This Row],[Exam Score]]&gt;75,"Pass","Fail")</f>
        <v>Fail</v>
      </c>
    </row>
    <row r="101" spans="1:8" x14ac:dyDescent="0.3">
      <c r="A101" s="1" t="s">
        <v>197</v>
      </c>
      <c r="B101" s="1" t="s">
        <v>198</v>
      </c>
      <c r="C101" s="1" t="s">
        <v>9</v>
      </c>
      <c r="D101" s="1">
        <v>19</v>
      </c>
      <c r="E101" s="1" t="s">
        <v>13</v>
      </c>
      <c r="F101" s="1">
        <v>54</v>
      </c>
      <c r="G101" s="1">
        <v>82</v>
      </c>
      <c r="H101" t="str">
        <f>IF(Table1[[#This Row],[Exam Score]]&gt;75,"Pass","Fail")</f>
        <v>Fail</v>
      </c>
    </row>
    <row r="102" spans="1:8" x14ac:dyDescent="0.3">
      <c r="A102" s="1" t="s">
        <v>199</v>
      </c>
      <c r="B102" s="1" t="s">
        <v>200</v>
      </c>
      <c r="C102" s="1" t="s">
        <v>16</v>
      </c>
      <c r="D102" s="1">
        <v>20</v>
      </c>
      <c r="E102" s="1" t="s">
        <v>13</v>
      </c>
      <c r="F102" s="1">
        <v>98</v>
      </c>
      <c r="G102" s="1">
        <v>74</v>
      </c>
      <c r="H102" t="str">
        <f>IF(Table1[[#This Row],[Exam Score]]&gt;75,"Pass","Fail")</f>
        <v>Pass</v>
      </c>
    </row>
    <row r="103" spans="1:8" x14ac:dyDescent="0.3">
      <c r="A103" s="1" t="s">
        <v>201</v>
      </c>
      <c r="B103" s="1" t="s">
        <v>202</v>
      </c>
      <c r="C103" s="1" t="s">
        <v>9</v>
      </c>
      <c r="D103" s="1">
        <v>21</v>
      </c>
      <c r="E103" s="1" t="s">
        <v>13</v>
      </c>
      <c r="F103" s="1">
        <v>59</v>
      </c>
      <c r="G103" s="1">
        <v>99</v>
      </c>
      <c r="H103" t="str">
        <f>IF(Table1[[#This Row],[Exam Score]]&gt;75,"Pass","Fail")</f>
        <v>Fail</v>
      </c>
    </row>
    <row r="104" spans="1:8" x14ac:dyDescent="0.3">
      <c r="A104" s="1" t="s">
        <v>203</v>
      </c>
      <c r="B104" s="1" t="s">
        <v>204</v>
      </c>
      <c r="C104" s="1" t="s">
        <v>9</v>
      </c>
      <c r="D104" s="1">
        <v>18</v>
      </c>
      <c r="E104" s="1" t="s">
        <v>24</v>
      </c>
      <c r="F104" s="1">
        <v>92</v>
      </c>
      <c r="G104" s="1">
        <v>99</v>
      </c>
      <c r="H104" t="str">
        <f>IF(Table1[[#This Row],[Exam Score]]&gt;75,"Pass","Fail")</f>
        <v>Pass</v>
      </c>
    </row>
    <row r="105" spans="1:8" x14ac:dyDescent="0.3">
      <c r="A105" s="1" t="s">
        <v>205</v>
      </c>
      <c r="B105" s="1" t="s">
        <v>206</v>
      </c>
      <c r="C105" s="1" t="s">
        <v>9</v>
      </c>
      <c r="D105" s="1">
        <v>18</v>
      </c>
      <c r="E105" s="1" t="s">
        <v>17</v>
      </c>
      <c r="F105" s="1">
        <v>71</v>
      </c>
      <c r="G105" s="1">
        <v>96</v>
      </c>
      <c r="H105" t="str">
        <f>IF(Table1[[#This Row],[Exam Score]]&gt;75,"Pass","Fail")</f>
        <v>Fail</v>
      </c>
    </row>
    <row r="106" spans="1:8" x14ac:dyDescent="0.3">
      <c r="A106" s="1" t="s">
        <v>207</v>
      </c>
      <c r="B106" s="1" t="s">
        <v>208</v>
      </c>
      <c r="C106" s="1" t="s">
        <v>9</v>
      </c>
      <c r="D106" s="1">
        <v>21</v>
      </c>
      <c r="E106" s="1" t="s">
        <v>24</v>
      </c>
      <c r="F106" s="1">
        <v>61</v>
      </c>
      <c r="G106" s="1">
        <v>70</v>
      </c>
      <c r="H106" t="str">
        <f>IF(Table1[[#This Row],[Exam Score]]&gt;75,"Pass","Fail")</f>
        <v>Fail</v>
      </c>
    </row>
    <row r="107" spans="1:8" x14ac:dyDescent="0.3">
      <c r="A107" s="1" t="s">
        <v>209</v>
      </c>
      <c r="B107" s="1" t="s">
        <v>210</v>
      </c>
      <c r="C107" s="1" t="s">
        <v>9</v>
      </c>
      <c r="D107" s="1">
        <v>18</v>
      </c>
      <c r="E107" s="1" t="s">
        <v>13</v>
      </c>
      <c r="F107" s="1">
        <v>83</v>
      </c>
      <c r="G107" s="1">
        <v>97</v>
      </c>
      <c r="H107" t="str">
        <f>IF(Table1[[#This Row],[Exam Score]]&gt;75,"Pass","Fail")</f>
        <v>Pass</v>
      </c>
    </row>
    <row r="108" spans="1:8" x14ac:dyDescent="0.3">
      <c r="A108" s="1" t="s">
        <v>211</v>
      </c>
      <c r="B108" s="1" t="s">
        <v>212</v>
      </c>
      <c r="C108" s="1" t="s">
        <v>16</v>
      </c>
      <c r="D108" s="1">
        <v>21</v>
      </c>
      <c r="E108" s="1" t="s">
        <v>17</v>
      </c>
      <c r="F108" s="1">
        <v>64</v>
      </c>
      <c r="G108" s="1">
        <v>92</v>
      </c>
      <c r="H108" t="str">
        <f>IF(Table1[[#This Row],[Exam Score]]&gt;75,"Pass","Fail")</f>
        <v>Fail</v>
      </c>
    </row>
    <row r="109" spans="1:8" x14ac:dyDescent="0.3">
      <c r="A109" s="1" t="s">
        <v>213</v>
      </c>
      <c r="B109" s="1" t="s">
        <v>82</v>
      </c>
      <c r="C109" s="1" t="s">
        <v>9</v>
      </c>
      <c r="D109" s="1">
        <v>22</v>
      </c>
      <c r="E109" s="1" t="s">
        <v>13</v>
      </c>
      <c r="F109" s="1">
        <v>79</v>
      </c>
      <c r="G109" s="1">
        <v>60</v>
      </c>
      <c r="H109" t="str">
        <f>IF(Table1[[#This Row],[Exam Score]]&gt;75,"Pass","Fail")</f>
        <v>Pass</v>
      </c>
    </row>
    <row r="110" spans="1:8" x14ac:dyDescent="0.3">
      <c r="A110" s="1" t="s">
        <v>214</v>
      </c>
      <c r="B110" s="1" t="s">
        <v>215</v>
      </c>
      <c r="C110" s="1" t="s">
        <v>16</v>
      </c>
      <c r="D110" s="1">
        <v>22</v>
      </c>
      <c r="E110" s="1" t="s">
        <v>10</v>
      </c>
      <c r="F110" s="1">
        <v>70</v>
      </c>
      <c r="G110" s="1">
        <v>94</v>
      </c>
      <c r="H110" t="str">
        <f>IF(Table1[[#This Row],[Exam Score]]&gt;75,"Pass","Fail")</f>
        <v>Fail</v>
      </c>
    </row>
    <row r="111" spans="1:8" x14ac:dyDescent="0.3">
      <c r="A111" s="1" t="s">
        <v>216</v>
      </c>
      <c r="B111" s="1" t="s">
        <v>217</v>
      </c>
      <c r="C111" s="1" t="s">
        <v>16</v>
      </c>
      <c r="D111" s="1">
        <v>18</v>
      </c>
      <c r="E111" s="1" t="s">
        <v>13</v>
      </c>
      <c r="F111" s="1">
        <v>66</v>
      </c>
      <c r="G111" s="1">
        <v>67</v>
      </c>
      <c r="H111" t="str">
        <f>IF(Table1[[#This Row],[Exam Score]]&gt;75,"Pass","Fail")</f>
        <v>Fail</v>
      </c>
    </row>
    <row r="112" spans="1:8" x14ac:dyDescent="0.3">
      <c r="A112" s="1" t="s">
        <v>218</v>
      </c>
      <c r="B112" s="1" t="s">
        <v>219</v>
      </c>
      <c r="C112" s="1" t="s">
        <v>16</v>
      </c>
      <c r="D112" s="1">
        <v>22</v>
      </c>
      <c r="E112" s="1" t="s">
        <v>10</v>
      </c>
      <c r="F112" s="1">
        <v>74</v>
      </c>
      <c r="G112" s="1">
        <v>80</v>
      </c>
      <c r="H112" t="str">
        <f>IF(Table1[[#This Row],[Exam Score]]&gt;75,"Pass","Fail")</f>
        <v>Fail</v>
      </c>
    </row>
    <row r="113" spans="1:8" x14ac:dyDescent="0.3">
      <c r="A113" s="1" t="s">
        <v>220</v>
      </c>
      <c r="B113" s="1" t="s">
        <v>202</v>
      </c>
      <c r="C113" s="1" t="s">
        <v>9</v>
      </c>
      <c r="D113" s="1">
        <v>22</v>
      </c>
      <c r="E113" s="1" t="s">
        <v>13</v>
      </c>
      <c r="F113" s="1">
        <v>92</v>
      </c>
      <c r="G113" s="1">
        <v>80</v>
      </c>
      <c r="H113" t="str">
        <f>IF(Table1[[#This Row],[Exam Score]]&gt;75,"Pass","Fail")</f>
        <v>Pass</v>
      </c>
    </row>
    <row r="114" spans="1:8" x14ac:dyDescent="0.3">
      <c r="A114" s="1" t="s">
        <v>221</v>
      </c>
      <c r="B114" s="1" t="s">
        <v>80</v>
      </c>
      <c r="C114" s="1" t="s">
        <v>16</v>
      </c>
      <c r="D114" s="1">
        <v>18</v>
      </c>
      <c r="E114" s="1" t="s">
        <v>17</v>
      </c>
      <c r="F114" s="1">
        <v>68</v>
      </c>
      <c r="G114" s="1">
        <v>99</v>
      </c>
      <c r="H114" t="str">
        <f>IF(Table1[[#This Row],[Exam Score]]&gt;75,"Pass","Fail")</f>
        <v>Fail</v>
      </c>
    </row>
    <row r="115" spans="1:8" x14ac:dyDescent="0.3">
      <c r="A115" s="1" t="s">
        <v>222</v>
      </c>
      <c r="B115" s="1" t="s">
        <v>157</v>
      </c>
      <c r="C115" s="1" t="s">
        <v>16</v>
      </c>
      <c r="D115" s="1">
        <v>18</v>
      </c>
      <c r="E115" s="1" t="s">
        <v>17</v>
      </c>
      <c r="F115" s="1">
        <v>62</v>
      </c>
      <c r="G115" s="1">
        <v>100</v>
      </c>
      <c r="H115" t="str">
        <f>IF(Table1[[#This Row],[Exam Score]]&gt;75,"Pass","Fail")</f>
        <v>Fail</v>
      </c>
    </row>
    <row r="116" spans="1:8" x14ac:dyDescent="0.3">
      <c r="A116" s="1" t="s">
        <v>223</v>
      </c>
      <c r="B116" s="1" t="s">
        <v>190</v>
      </c>
      <c r="C116" s="1" t="s">
        <v>16</v>
      </c>
      <c r="D116" s="1">
        <v>18</v>
      </c>
      <c r="E116" s="1" t="s">
        <v>17</v>
      </c>
      <c r="F116" s="1">
        <v>80</v>
      </c>
      <c r="G116" s="1">
        <v>93</v>
      </c>
      <c r="H116" t="str">
        <f>IF(Table1[[#This Row],[Exam Score]]&gt;75,"Pass","Fail")</f>
        <v>Pass</v>
      </c>
    </row>
    <row r="117" spans="1:8" x14ac:dyDescent="0.3">
      <c r="A117" s="1" t="s">
        <v>224</v>
      </c>
      <c r="B117" s="1" t="s">
        <v>225</v>
      </c>
      <c r="C117" s="1" t="s">
        <v>9</v>
      </c>
      <c r="D117" s="1">
        <v>19</v>
      </c>
      <c r="E117" s="1" t="s">
        <v>24</v>
      </c>
      <c r="F117" s="1">
        <v>93</v>
      </c>
      <c r="G117" s="1">
        <v>73</v>
      </c>
      <c r="H117" t="str">
        <f>IF(Table1[[#This Row],[Exam Score]]&gt;75,"Pass","Fail")</f>
        <v>Pass</v>
      </c>
    </row>
    <row r="118" spans="1:8" x14ac:dyDescent="0.3">
      <c r="A118" s="1" t="s">
        <v>226</v>
      </c>
      <c r="B118" s="1" t="s">
        <v>227</v>
      </c>
      <c r="C118" s="1" t="s">
        <v>9</v>
      </c>
      <c r="D118" s="1">
        <v>19</v>
      </c>
      <c r="E118" s="1" t="s">
        <v>17</v>
      </c>
      <c r="F118" s="1">
        <v>54</v>
      </c>
      <c r="G118" s="1">
        <v>77</v>
      </c>
      <c r="H118" t="str">
        <f>IF(Table1[[#This Row],[Exam Score]]&gt;75,"Pass","Fail")</f>
        <v>Fail</v>
      </c>
    </row>
    <row r="119" spans="1:8" x14ac:dyDescent="0.3">
      <c r="A119" s="1" t="s">
        <v>228</v>
      </c>
      <c r="B119" s="1" t="s">
        <v>229</v>
      </c>
      <c r="C119" s="1" t="s">
        <v>16</v>
      </c>
      <c r="D119" s="1">
        <v>18</v>
      </c>
      <c r="E119" s="1" t="s">
        <v>10</v>
      </c>
      <c r="F119" s="1">
        <v>76</v>
      </c>
      <c r="G119" s="1">
        <v>76</v>
      </c>
      <c r="H119" t="str">
        <f>IF(Table1[[#This Row],[Exam Score]]&gt;75,"Pass","Fail")</f>
        <v>Pass</v>
      </c>
    </row>
    <row r="120" spans="1:8" x14ac:dyDescent="0.3">
      <c r="A120" s="1" t="s">
        <v>230</v>
      </c>
      <c r="B120" s="1" t="s">
        <v>231</v>
      </c>
      <c r="C120" s="1" t="s">
        <v>16</v>
      </c>
      <c r="D120" s="1">
        <v>18</v>
      </c>
      <c r="E120" s="1" t="s">
        <v>13</v>
      </c>
      <c r="F120" s="1">
        <v>100</v>
      </c>
      <c r="G120" s="1">
        <v>81</v>
      </c>
      <c r="H120" t="str">
        <f>IF(Table1[[#This Row],[Exam Score]]&gt;75,"Pass","Fail")</f>
        <v>Pass</v>
      </c>
    </row>
    <row r="121" spans="1:8" x14ac:dyDescent="0.3">
      <c r="A121" s="1" t="s">
        <v>232</v>
      </c>
      <c r="B121" s="1" t="s">
        <v>233</v>
      </c>
      <c r="C121" s="1" t="s">
        <v>9</v>
      </c>
      <c r="D121" s="1">
        <v>22</v>
      </c>
      <c r="E121" s="1" t="s">
        <v>24</v>
      </c>
      <c r="F121" s="1">
        <v>92</v>
      </c>
      <c r="G121" s="1">
        <v>82</v>
      </c>
      <c r="H121" t="str">
        <f>IF(Table1[[#This Row],[Exam Score]]&gt;75,"Pass","Fail")</f>
        <v>Pass</v>
      </c>
    </row>
    <row r="122" spans="1:8" x14ac:dyDescent="0.3">
      <c r="A122" s="1" t="s">
        <v>234</v>
      </c>
      <c r="B122" s="1" t="s">
        <v>235</v>
      </c>
      <c r="C122" s="1" t="s">
        <v>9</v>
      </c>
      <c r="D122" s="1">
        <v>22</v>
      </c>
      <c r="E122" s="1" t="s">
        <v>17</v>
      </c>
      <c r="F122" s="1">
        <v>96</v>
      </c>
      <c r="G122" s="1">
        <v>99</v>
      </c>
      <c r="H122" t="str">
        <f>IF(Table1[[#This Row],[Exam Score]]&gt;75,"Pass","Fail")</f>
        <v>Pass</v>
      </c>
    </row>
    <row r="123" spans="1:8" x14ac:dyDescent="0.3">
      <c r="A123" s="1" t="s">
        <v>236</v>
      </c>
      <c r="B123" s="1" t="s">
        <v>237</v>
      </c>
      <c r="C123" s="1" t="s">
        <v>16</v>
      </c>
      <c r="D123" s="1">
        <v>18</v>
      </c>
      <c r="E123" s="1" t="s">
        <v>17</v>
      </c>
      <c r="F123" s="1">
        <v>49</v>
      </c>
      <c r="G123" s="1">
        <v>80</v>
      </c>
      <c r="H123" t="str">
        <f>IF(Table1[[#This Row],[Exam Score]]&gt;75,"Pass","Fail")</f>
        <v>Fail</v>
      </c>
    </row>
    <row r="124" spans="1:8" x14ac:dyDescent="0.3">
      <c r="A124" s="1" t="s">
        <v>238</v>
      </c>
      <c r="B124" s="1" t="s">
        <v>239</v>
      </c>
      <c r="C124" s="1" t="s">
        <v>9</v>
      </c>
      <c r="D124" s="1">
        <v>22</v>
      </c>
      <c r="E124" s="1" t="s">
        <v>17</v>
      </c>
      <c r="F124" s="1">
        <v>50</v>
      </c>
      <c r="G124" s="1">
        <v>71</v>
      </c>
      <c r="H124" t="str">
        <f>IF(Table1[[#This Row],[Exam Score]]&gt;75,"Pass","Fail")</f>
        <v>Fail</v>
      </c>
    </row>
    <row r="125" spans="1:8" x14ac:dyDescent="0.3">
      <c r="A125" s="1" t="s">
        <v>240</v>
      </c>
      <c r="B125" s="1" t="s">
        <v>241</v>
      </c>
      <c r="C125" s="1" t="s">
        <v>16</v>
      </c>
      <c r="D125" s="1">
        <v>18</v>
      </c>
      <c r="E125" s="1" t="s">
        <v>17</v>
      </c>
      <c r="F125" s="1">
        <v>99</v>
      </c>
      <c r="G125" s="1">
        <v>75</v>
      </c>
      <c r="H125" t="str">
        <f>IF(Table1[[#This Row],[Exam Score]]&gt;75,"Pass","Fail")</f>
        <v>Pass</v>
      </c>
    </row>
    <row r="126" spans="1:8" x14ac:dyDescent="0.3">
      <c r="A126" s="1" t="s">
        <v>242</v>
      </c>
      <c r="B126" s="1" t="s">
        <v>243</v>
      </c>
      <c r="C126" s="1" t="s">
        <v>9</v>
      </c>
      <c r="D126" s="1">
        <v>22</v>
      </c>
      <c r="E126" s="1" t="s">
        <v>10</v>
      </c>
      <c r="F126" s="1">
        <v>90</v>
      </c>
      <c r="G126" s="1">
        <v>77</v>
      </c>
      <c r="H126" t="str">
        <f>IF(Table1[[#This Row],[Exam Score]]&gt;75,"Pass","Fail")</f>
        <v>Pass</v>
      </c>
    </row>
    <row r="127" spans="1:8" x14ac:dyDescent="0.3">
      <c r="A127" s="1" t="s">
        <v>244</v>
      </c>
      <c r="B127" s="1" t="s">
        <v>245</v>
      </c>
      <c r="C127" s="1" t="s">
        <v>16</v>
      </c>
      <c r="D127" s="1">
        <v>20</v>
      </c>
      <c r="E127" s="1" t="s">
        <v>10</v>
      </c>
      <c r="F127" s="1">
        <v>76</v>
      </c>
      <c r="G127" s="1">
        <v>69</v>
      </c>
      <c r="H127" t="str">
        <f>IF(Table1[[#This Row],[Exam Score]]&gt;75,"Pass","Fail")</f>
        <v>Pass</v>
      </c>
    </row>
    <row r="128" spans="1:8" x14ac:dyDescent="0.3">
      <c r="A128" s="1" t="s">
        <v>246</v>
      </c>
      <c r="B128" s="1" t="s">
        <v>247</v>
      </c>
      <c r="C128" s="1" t="s">
        <v>9</v>
      </c>
      <c r="D128" s="1">
        <v>22</v>
      </c>
      <c r="E128" s="1" t="s">
        <v>10</v>
      </c>
      <c r="F128" s="1">
        <v>100</v>
      </c>
      <c r="G128" s="1">
        <v>70</v>
      </c>
      <c r="H128" t="str">
        <f>IF(Table1[[#This Row],[Exam Score]]&gt;75,"Pass","Fail")</f>
        <v>Pass</v>
      </c>
    </row>
    <row r="129" spans="1:8" x14ac:dyDescent="0.3">
      <c r="A129" s="1" t="s">
        <v>248</v>
      </c>
      <c r="B129" s="1" t="s">
        <v>163</v>
      </c>
      <c r="C129" s="1" t="s">
        <v>16</v>
      </c>
      <c r="D129" s="1">
        <v>21</v>
      </c>
      <c r="E129" s="1" t="s">
        <v>17</v>
      </c>
      <c r="F129" s="1">
        <v>81</v>
      </c>
      <c r="G129" s="1">
        <v>83</v>
      </c>
      <c r="H129" t="str">
        <f>IF(Table1[[#This Row],[Exam Score]]&gt;75,"Pass","Fail")</f>
        <v>Pass</v>
      </c>
    </row>
    <row r="130" spans="1:8" x14ac:dyDescent="0.3">
      <c r="A130" s="1" t="s">
        <v>249</v>
      </c>
      <c r="B130" s="1" t="s">
        <v>250</v>
      </c>
      <c r="C130" s="1" t="s">
        <v>9</v>
      </c>
      <c r="D130" s="1">
        <v>21</v>
      </c>
      <c r="E130" s="1" t="s">
        <v>10</v>
      </c>
      <c r="F130" s="1">
        <v>75</v>
      </c>
      <c r="G130" s="1">
        <v>83</v>
      </c>
      <c r="H130" t="str">
        <f>IF(Table1[[#This Row],[Exam Score]]&gt;75,"Pass","Fail")</f>
        <v>Fail</v>
      </c>
    </row>
    <row r="131" spans="1:8" x14ac:dyDescent="0.3">
      <c r="A131" s="1" t="s">
        <v>251</v>
      </c>
      <c r="B131" s="1" t="s">
        <v>252</v>
      </c>
      <c r="C131" s="1" t="s">
        <v>16</v>
      </c>
      <c r="D131" s="1">
        <v>19</v>
      </c>
      <c r="E131" s="1" t="s">
        <v>24</v>
      </c>
      <c r="F131" s="1">
        <v>71</v>
      </c>
      <c r="G131" s="1">
        <v>86</v>
      </c>
      <c r="H131" t="str">
        <f>IF(Table1[[#This Row],[Exam Score]]&gt;75,"Pass","Fail")</f>
        <v>Fail</v>
      </c>
    </row>
    <row r="132" spans="1:8" x14ac:dyDescent="0.3">
      <c r="A132" s="1" t="s">
        <v>253</v>
      </c>
      <c r="B132" s="1" t="s">
        <v>254</v>
      </c>
      <c r="C132" s="1" t="s">
        <v>16</v>
      </c>
      <c r="D132" s="1">
        <v>21</v>
      </c>
      <c r="E132" s="1" t="s">
        <v>17</v>
      </c>
      <c r="F132" s="1">
        <v>45</v>
      </c>
      <c r="G132" s="1">
        <v>89</v>
      </c>
      <c r="H132" t="str">
        <f>IF(Table1[[#This Row],[Exam Score]]&gt;75,"Pass","Fail")</f>
        <v>Fail</v>
      </c>
    </row>
    <row r="133" spans="1:8" x14ac:dyDescent="0.3">
      <c r="A133" s="1" t="s">
        <v>255</v>
      </c>
      <c r="B133" s="1" t="s">
        <v>256</v>
      </c>
      <c r="C133" s="1" t="s">
        <v>9</v>
      </c>
      <c r="D133" s="1">
        <v>21</v>
      </c>
      <c r="E133" s="1" t="s">
        <v>13</v>
      </c>
      <c r="F133" s="1">
        <v>50</v>
      </c>
      <c r="G133" s="1">
        <v>61</v>
      </c>
      <c r="H133" t="str">
        <f>IF(Table1[[#This Row],[Exam Score]]&gt;75,"Pass","Fail")</f>
        <v>Fail</v>
      </c>
    </row>
    <row r="134" spans="1:8" x14ac:dyDescent="0.3">
      <c r="A134" s="1" t="s">
        <v>257</v>
      </c>
      <c r="B134" s="1" t="s">
        <v>146</v>
      </c>
      <c r="C134" s="1" t="s">
        <v>9</v>
      </c>
      <c r="D134" s="1">
        <v>19</v>
      </c>
      <c r="E134" s="1" t="s">
        <v>13</v>
      </c>
      <c r="F134" s="1">
        <v>85</v>
      </c>
      <c r="G134" s="1">
        <v>100</v>
      </c>
      <c r="H134" t="str">
        <f>IF(Table1[[#This Row],[Exam Score]]&gt;75,"Pass","Fail")</f>
        <v>Pass</v>
      </c>
    </row>
    <row r="135" spans="1:8" x14ac:dyDescent="0.3">
      <c r="A135" s="1" t="s">
        <v>258</v>
      </c>
      <c r="B135" s="1" t="s">
        <v>187</v>
      </c>
      <c r="C135" s="1" t="s">
        <v>16</v>
      </c>
      <c r="D135" s="1">
        <v>18</v>
      </c>
      <c r="E135" s="1" t="s">
        <v>24</v>
      </c>
      <c r="F135" s="1">
        <v>48</v>
      </c>
      <c r="G135" s="1">
        <v>95</v>
      </c>
      <c r="H135" t="str">
        <f>IF(Table1[[#This Row],[Exam Score]]&gt;75,"Pass","Fail")</f>
        <v>Fail</v>
      </c>
    </row>
    <row r="136" spans="1:8" x14ac:dyDescent="0.3">
      <c r="A136" s="1" t="s">
        <v>259</v>
      </c>
      <c r="B136" s="1" t="s">
        <v>260</v>
      </c>
      <c r="C136" s="1" t="s">
        <v>16</v>
      </c>
      <c r="D136" s="1">
        <v>19</v>
      </c>
      <c r="E136" s="1" t="s">
        <v>17</v>
      </c>
      <c r="F136" s="1">
        <v>93</v>
      </c>
      <c r="G136" s="1">
        <v>90</v>
      </c>
      <c r="H136" t="str">
        <f>IF(Table1[[#This Row],[Exam Score]]&gt;75,"Pass","Fail")</f>
        <v>Pass</v>
      </c>
    </row>
    <row r="137" spans="1:8" x14ac:dyDescent="0.3">
      <c r="A137" s="1" t="s">
        <v>261</v>
      </c>
      <c r="B137" s="1" t="s">
        <v>262</v>
      </c>
      <c r="C137" s="1" t="s">
        <v>9</v>
      </c>
      <c r="D137" s="1">
        <v>19</v>
      </c>
      <c r="E137" s="1" t="s">
        <v>17</v>
      </c>
      <c r="F137" s="1">
        <v>75</v>
      </c>
      <c r="G137" s="1">
        <v>76</v>
      </c>
      <c r="H137" t="str">
        <f>IF(Table1[[#This Row],[Exam Score]]&gt;75,"Pass","Fail")</f>
        <v>Fail</v>
      </c>
    </row>
    <row r="138" spans="1:8" x14ac:dyDescent="0.3">
      <c r="A138" s="1" t="s">
        <v>263</v>
      </c>
      <c r="B138" s="1" t="s">
        <v>132</v>
      </c>
      <c r="C138" s="1" t="s">
        <v>9</v>
      </c>
      <c r="D138" s="1">
        <v>21</v>
      </c>
      <c r="E138" s="1" t="s">
        <v>13</v>
      </c>
      <c r="F138" s="1">
        <v>95</v>
      </c>
      <c r="G138" s="1">
        <v>85</v>
      </c>
      <c r="H138" t="str">
        <f>IF(Table1[[#This Row],[Exam Score]]&gt;75,"Pass","Fail")</f>
        <v>Pass</v>
      </c>
    </row>
    <row r="139" spans="1:8" x14ac:dyDescent="0.3">
      <c r="A139" s="1" t="s">
        <v>264</v>
      </c>
      <c r="B139" s="1" t="s">
        <v>265</v>
      </c>
      <c r="C139" s="1" t="s">
        <v>16</v>
      </c>
      <c r="D139" s="1">
        <v>22</v>
      </c>
      <c r="E139" s="1" t="s">
        <v>13</v>
      </c>
      <c r="F139" s="1">
        <v>64</v>
      </c>
      <c r="G139" s="1">
        <v>78</v>
      </c>
      <c r="H139" t="str">
        <f>IF(Table1[[#This Row],[Exam Score]]&gt;75,"Pass","Fail")</f>
        <v>Fail</v>
      </c>
    </row>
    <row r="140" spans="1:8" x14ac:dyDescent="0.3">
      <c r="A140" s="1" t="s">
        <v>266</v>
      </c>
      <c r="B140" s="1" t="s">
        <v>111</v>
      </c>
      <c r="C140" s="1" t="s">
        <v>9</v>
      </c>
      <c r="D140" s="1">
        <v>19</v>
      </c>
      <c r="E140" s="1" t="s">
        <v>24</v>
      </c>
      <c r="F140" s="1">
        <v>49</v>
      </c>
      <c r="G140" s="1">
        <v>87</v>
      </c>
      <c r="H140" t="str">
        <f>IF(Table1[[#This Row],[Exam Score]]&gt;75,"Pass","Fail")</f>
        <v>Fail</v>
      </c>
    </row>
    <row r="141" spans="1:8" x14ac:dyDescent="0.3">
      <c r="A141" s="1" t="s">
        <v>267</v>
      </c>
      <c r="B141" s="1" t="s">
        <v>268</v>
      </c>
      <c r="C141" s="1" t="s">
        <v>16</v>
      </c>
      <c r="D141" s="1">
        <v>19</v>
      </c>
      <c r="E141" s="1" t="s">
        <v>24</v>
      </c>
      <c r="F141" s="1">
        <v>45</v>
      </c>
      <c r="G141" s="1">
        <v>61</v>
      </c>
      <c r="H141" t="str">
        <f>IF(Table1[[#This Row],[Exam Score]]&gt;75,"Pass","Fail")</f>
        <v>Fail</v>
      </c>
    </row>
    <row r="142" spans="1:8" x14ac:dyDescent="0.3">
      <c r="A142" s="1" t="s">
        <v>269</v>
      </c>
      <c r="B142" s="1" t="s">
        <v>270</v>
      </c>
      <c r="C142" s="1" t="s">
        <v>9</v>
      </c>
      <c r="D142" s="1">
        <v>22</v>
      </c>
      <c r="E142" s="1" t="s">
        <v>17</v>
      </c>
      <c r="F142" s="1">
        <v>87</v>
      </c>
      <c r="G142" s="1">
        <v>97</v>
      </c>
      <c r="H142" t="str">
        <f>IF(Table1[[#This Row],[Exam Score]]&gt;75,"Pass","Fail")</f>
        <v>Pass</v>
      </c>
    </row>
    <row r="143" spans="1:8" x14ac:dyDescent="0.3">
      <c r="A143" s="1" t="s">
        <v>271</v>
      </c>
      <c r="B143" s="1" t="s">
        <v>272</v>
      </c>
      <c r="C143" s="1" t="s">
        <v>16</v>
      </c>
      <c r="D143" s="1">
        <v>19</v>
      </c>
      <c r="E143" s="1" t="s">
        <v>17</v>
      </c>
      <c r="F143" s="1">
        <v>100</v>
      </c>
      <c r="G143" s="1">
        <v>80</v>
      </c>
      <c r="H143" t="str">
        <f>IF(Table1[[#This Row],[Exam Score]]&gt;75,"Pass","Fail")</f>
        <v>Pass</v>
      </c>
    </row>
    <row r="144" spans="1:8" x14ac:dyDescent="0.3">
      <c r="A144" s="1" t="s">
        <v>273</v>
      </c>
      <c r="B144" s="1" t="s">
        <v>111</v>
      </c>
      <c r="C144" s="1" t="s">
        <v>9</v>
      </c>
      <c r="D144" s="1">
        <v>18</v>
      </c>
      <c r="E144" s="1" t="s">
        <v>13</v>
      </c>
      <c r="F144" s="1">
        <v>78</v>
      </c>
      <c r="G144" s="1">
        <v>98</v>
      </c>
      <c r="H144" t="str">
        <f>IF(Table1[[#This Row],[Exam Score]]&gt;75,"Pass","Fail")</f>
        <v>Pass</v>
      </c>
    </row>
    <row r="145" spans="1:8" x14ac:dyDescent="0.3">
      <c r="A145" s="1" t="s">
        <v>274</v>
      </c>
      <c r="B145" s="1" t="s">
        <v>155</v>
      </c>
      <c r="C145" s="1" t="s">
        <v>16</v>
      </c>
      <c r="D145" s="1">
        <v>20</v>
      </c>
      <c r="E145" s="1" t="s">
        <v>13</v>
      </c>
      <c r="F145" s="1">
        <v>69</v>
      </c>
      <c r="G145" s="1">
        <v>83</v>
      </c>
      <c r="H145" t="str">
        <f>IF(Table1[[#This Row],[Exam Score]]&gt;75,"Pass","Fail")</f>
        <v>Fail</v>
      </c>
    </row>
    <row r="146" spans="1:8" x14ac:dyDescent="0.3">
      <c r="A146" s="1" t="s">
        <v>275</v>
      </c>
      <c r="B146" s="1" t="s">
        <v>34</v>
      </c>
      <c r="C146" s="1" t="s">
        <v>16</v>
      </c>
      <c r="D146" s="1">
        <v>22</v>
      </c>
      <c r="E146" s="1" t="s">
        <v>24</v>
      </c>
      <c r="F146" s="1">
        <v>52</v>
      </c>
      <c r="G146" s="1">
        <v>88</v>
      </c>
      <c r="H146" t="str">
        <f>IF(Table1[[#This Row],[Exam Score]]&gt;75,"Pass","Fail")</f>
        <v>Fail</v>
      </c>
    </row>
    <row r="147" spans="1:8" x14ac:dyDescent="0.3">
      <c r="A147" s="1" t="s">
        <v>276</v>
      </c>
      <c r="B147" s="1" t="s">
        <v>277</v>
      </c>
      <c r="C147" s="1" t="s">
        <v>16</v>
      </c>
      <c r="D147" s="1">
        <v>18</v>
      </c>
      <c r="E147" s="1" t="s">
        <v>24</v>
      </c>
      <c r="F147" s="1">
        <v>53</v>
      </c>
      <c r="G147" s="1">
        <v>76</v>
      </c>
      <c r="H147" t="str">
        <f>IF(Table1[[#This Row],[Exam Score]]&gt;75,"Pass","Fail")</f>
        <v>Fail</v>
      </c>
    </row>
    <row r="148" spans="1:8" x14ac:dyDescent="0.3">
      <c r="A148" s="1" t="s">
        <v>278</v>
      </c>
      <c r="B148" s="1" t="s">
        <v>279</v>
      </c>
      <c r="C148" s="1" t="s">
        <v>16</v>
      </c>
      <c r="D148" s="1">
        <v>21</v>
      </c>
      <c r="E148" s="1" t="s">
        <v>13</v>
      </c>
      <c r="F148" s="1">
        <v>88</v>
      </c>
      <c r="G148" s="1">
        <v>60</v>
      </c>
      <c r="H148" t="str">
        <f>IF(Table1[[#This Row],[Exam Score]]&gt;75,"Pass","Fail")</f>
        <v>Pass</v>
      </c>
    </row>
    <row r="149" spans="1:8" x14ac:dyDescent="0.3">
      <c r="A149" s="1" t="s">
        <v>280</v>
      </c>
      <c r="B149" s="1" t="s">
        <v>113</v>
      </c>
      <c r="C149" s="1" t="s">
        <v>16</v>
      </c>
      <c r="D149" s="1">
        <v>18</v>
      </c>
      <c r="E149" s="1" t="s">
        <v>10</v>
      </c>
      <c r="F149" s="1">
        <v>70</v>
      </c>
      <c r="G149" s="1">
        <v>62</v>
      </c>
      <c r="H149" t="str">
        <f>IF(Table1[[#This Row],[Exam Score]]&gt;75,"Pass","Fail")</f>
        <v>Fail</v>
      </c>
    </row>
    <row r="150" spans="1:8" x14ac:dyDescent="0.3">
      <c r="A150" s="1" t="s">
        <v>281</v>
      </c>
      <c r="B150" s="1" t="s">
        <v>282</v>
      </c>
      <c r="C150" s="1" t="s">
        <v>16</v>
      </c>
      <c r="D150" s="1">
        <v>18</v>
      </c>
      <c r="E150" s="1" t="s">
        <v>17</v>
      </c>
      <c r="F150" s="1">
        <v>56</v>
      </c>
      <c r="G150" s="1">
        <v>92</v>
      </c>
      <c r="H150" t="str">
        <f>IF(Table1[[#This Row],[Exam Score]]&gt;75,"Pass","Fail")</f>
        <v>Fail</v>
      </c>
    </row>
    <row r="151" spans="1:8" x14ac:dyDescent="0.3">
      <c r="A151" s="1" t="s">
        <v>283</v>
      </c>
      <c r="B151" s="1" t="s">
        <v>284</v>
      </c>
      <c r="C151" s="1" t="s">
        <v>9</v>
      </c>
      <c r="D151" s="1">
        <v>18</v>
      </c>
      <c r="E151" s="1" t="s">
        <v>13</v>
      </c>
      <c r="F151" s="1">
        <v>95</v>
      </c>
      <c r="G151" s="1">
        <v>66</v>
      </c>
      <c r="H151" t="str">
        <f>IF(Table1[[#This Row],[Exam Score]]&gt;75,"Pass","Fail")</f>
        <v>Pass</v>
      </c>
    </row>
    <row r="152" spans="1:8" x14ac:dyDescent="0.3">
      <c r="A152" s="1" t="s">
        <v>285</v>
      </c>
      <c r="B152" s="1" t="s">
        <v>268</v>
      </c>
      <c r="C152" s="1" t="s">
        <v>16</v>
      </c>
      <c r="D152" s="1">
        <v>20</v>
      </c>
      <c r="E152" s="1" t="s">
        <v>24</v>
      </c>
      <c r="F152" s="1">
        <v>82</v>
      </c>
      <c r="G152" s="1">
        <v>68</v>
      </c>
      <c r="H152" t="str">
        <f>IF(Table1[[#This Row],[Exam Score]]&gt;75,"Pass","Fail")</f>
        <v>Pass</v>
      </c>
    </row>
    <row r="153" spans="1:8" x14ac:dyDescent="0.3">
      <c r="A153" s="1" t="s">
        <v>286</v>
      </c>
      <c r="B153" s="1" t="s">
        <v>231</v>
      </c>
      <c r="C153" s="1" t="s">
        <v>16</v>
      </c>
      <c r="D153" s="1">
        <v>21</v>
      </c>
      <c r="E153" s="1" t="s">
        <v>10</v>
      </c>
      <c r="F153" s="1">
        <v>63</v>
      </c>
      <c r="G153" s="1">
        <v>69</v>
      </c>
      <c r="H153" t="str">
        <f>IF(Table1[[#This Row],[Exam Score]]&gt;75,"Pass","Fail")</f>
        <v>Fail</v>
      </c>
    </row>
    <row r="154" spans="1:8" x14ac:dyDescent="0.3">
      <c r="A154" s="1" t="s">
        <v>287</v>
      </c>
      <c r="B154" s="1" t="s">
        <v>288</v>
      </c>
      <c r="C154" s="1" t="s">
        <v>9</v>
      </c>
      <c r="D154" s="1">
        <v>20</v>
      </c>
      <c r="E154" s="1" t="s">
        <v>17</v>
      </c>
      <c r="F154" s="1">
        <v>89</v>
      </c>
      <c r="G154" s="1">
        <v>64</v>
      </c>
      <c r="H154" t="str">
        <f>IF(Table1[[#This Row],[Exam Score]]&gt;75,"Pass","Fail")</f>
        <v>Pass</v>
      </c>
    </row>
    <row r="155" spans="1:8" x14ac:dyDescent="0.3">
      <c r="A155" s="1" t="s">
        <v>289</v>
      </c>
      <c r="B155" s="1" t="s">
        <v>290</v>
      </c>
      <c r="C155" s="1" t="s">
        <v>16</v>
      </c>
      <c r="D155" s="1">
        <v>21</v>
      </c>
      <c r="E155" s="1" t="s">
        <v>17</v>
      </c>
      <c r="F155" s="1">
        <v>65</v>
      </c>
      <c r="G155" s="1">
        <v>89</v>
      </c>
      <c r="H155" t="str">
        <f>IF(Table1[[#This Row],[Exam Score]]&gt;75,"Pass","Fail")</f>
        <v>Fail</v>
      </c>
    </row>
    <row r="156" spans="1:8" x14ac:dyDescent="0.3">
      <c r="A156" s="1" t="s">
        <v>291</v>
      </c>
      <c r="B156" s="1" t="s">
        <v>231</v>
      </c>
      <c r="C156" s="1" t="s">
        <v>16</v>
      </c>
      <c r="D156" s="1">
        <v>19</v>
      </c>
      <c r="E156" s="1" t="s">
        <v>17</v>
      </c>
      <c r="F156" s="1">
        <v>61</v>
      </c>
      <c r="G156" s="1">
        <v>60</v>
      </c>
      <c r="H156" t="str">
        <f>IF(Table1[[#This Row],[Exam Score]]&gt;75,"Pass","Fail")</f>
        <v>Fail</v>
      </c>
    </row>
    <row r="157" spans="1:8" x14ac:dyDescent="0.3">
      <c r="A157" s="1" t="s">
        <v>292</v>
      </c>
      <c r="B157" s="1" t="s">
        <v>293</v>
      </c>
      <c r="C157" s="1" t="s">
        <v>9</v>
      </c>
      <c r="D157" s="1">
        <v>22</v>
      </c>
      <c r="E157" s="1" t="s">
        <v>13</v>
      </c>
      <c r="F157" s="1">
        <v>98</v>
      </c>
      <c r="G157" s="1">
        <v>81</v>
      </c>
      <c r="H157" t="str">
        <f>IF(Table1[[#This Row],[Exam Score]]&gt;75,"Pass","Fail")</f>
        <v>Pass</v>
      </c>
    </row>
    <row r="158" spans="1:8" x14ac:dyDescent="0.3">
      <c r="A158" s="1" t="s">
        <v>294</v>
      </c>
      <c r="B158" s="1" t="s">
        <v>295</v>
      </c>
      <c r="C158" s="1" t="s">
        <v>9</v>
      </c>
      <c r="D158" s="1">
        <v>18</v>
      </c>
      <c r="E158" s="1" t="s">
        <v>10</v>
      </c>
      <c r="F158" s="1">
        <v>74</v>
      </c>
      <c r="G158" s="1">
        <v>91</v>
      </c>
      <c r="H158" t="str">
        <f>IF(Table1[[#This Row],[Exam Score]]&gt;75,"Pass","Fail")</f>
        <v>Fail</v>
      </c>
    </row>
    <row r="159" spans="1:8" x14ac:dyDescent="0.3">
      <c r="A159" s="1" t="s">
        <v>296</v>
      </c>
      <c r="B159" s="1" t="s">
        <v>297</v>
      </c>
      <c r="C159" s="1" t="s">
        <v>16</v>
      </c>
      <c r="D159" s="1">
        <v>18</v>
      </c>
      <c r="E159" s="1" t="s">
        <v>13</v>
      </c>
      <c r="F159" s="1">
        <v>64</v>
      </c>
      <c r="G159" s="1">
        <v>79</v>
      </c>
      <c r="H159" t="str">
        <f>IF(Table1[[#This Row],[Exam Score]]&gt;75,"Pass","Fail")</f>
        <v>Fail</v>
      </c>
    </row>
    <row r="160" spans="1:8" x14ac:dyDescent="0.3">
      <c r="A160" s="1" t="s">
        <v>298</v>
      </c>
      <c r="B160" s="1" t="s">
        <v>66</v>
      </c>
      <c r="C160" s="1" t="s">
        <v>9</v>
      </c>
      <c r="D160" s="1">
        <v>21</v>
      </c>
      <c r="E160" s="1" t="s">
        <v>17</v>
      </c>
      <c r="F160" s="1">
        <v>76</v>
      </c>
      <c r="G160" s="1">
        <v>70</v>
      </c>
      <c r="H160" t="str">
        <f>IF(Table1[[#This Row],[Exam Score]]&gt;75,"Pass","Fail")</f>
        <v>Pass</v>
      </c>
    </row>
    <row r="161" spans="1:8" x14ac:dyDescent="0.3">
      <c r="A161" s="1" t="s">
        <v>299</v>
      </c>
      <c r="B161" s="1" t="s">
        <v>74</v>
      </c>
      <c r="C161" s="1" t="s">
        <v>9</v>
      </c>
      <c r="D161" s="1">
        <v>22</v>
      </c>
      <c r="E161" s="1" t="s">
        <v>10</v>
      </c>
      <c r="F161" s="1">
        <v>83</v>
      </c>
      <c r="G161" s="1">
        <v>95</v>
      </c>
      <c r="H161" t="str">
        <f>IF(Table1[[#This Row],[Exam Score]]&gt;75,"Pass","Fail")</f>
        <v>Pass</v>
      </c>
    </row>
    <row r="162" spans="1:8" x14ac:dyDescent="0.3">
      <c r="A162" s="1" t="s">
        <v>300</v>
      </c>
      <c r="B162" s="1" t="s">
        <v>301</v>
      </c>
      <c r="C162" s="1" t="s">
        <v>16</v>
      </c>
      <c r="D162" s="1">
        <v>21</v>
      </c>
      <c r="E162" s="1" t="s">
        <v>17</v>
      </c>
      <c r="F162" s="1">
        <v>76</v>
      </c>
      <c r="G162" s="1">
        <v>76</v>
      </c>
      <c r="H162" t="str">
        <f>IF(Table1[[#This Row],[Exam Score]]&gt;75,"Pass","Fail")</f>
        <v>Pass</v>
      </c>
    </row>
    <row r="163" spans="1:8" x14ac:dyDescent="0.3">
      <c r="A163" s="1" t="s">
        <v>302</v>
      </c>
      <c r="B163" s="1" t="s">
        <v>303</v>
      </c>
      <c r="C163" s="1" t="s">
        <v>9</v>
      </c>
      <c r="D163" s="1">
        <v>20</v>
      </c>
      <c r="E163" s="1" t="s">
        <v>13</v>
      </c>
      <c r="F163" s="1">
        <v>98</v>
      </c>
      <c r="G163" s="1">
        <v>98</v>
      </c>
      <c r="H163" t="str">
        <f>IF(Table1[[#This Row],[Exam Score]]&gt;75,"Pass","Fail")</f>
        <v>Pass</v>
      </c>
    </row>
    <row r="164" spans="1:8" x14ac:dyDescent="0.3">
      <c r="A164" s="1" t="s">
        <v>304</v>
      </c>
      <c r="B164" s="1" t="s">
        <v>305</v>
      </c>
      <c r="C164" s="1" t="s">
        <v>9</v>
      </c>
      <c r="D164" s="1">
        <v>19</v>
      </c>
      <c r="E164" s="1" t="s">
        <v>17</v>
      </c>
      <c r="F164" s="1">
        <v>62</v>
      </c>
      <c r="G164" s="1">
        <v>86</v>
      </c>
      <c r="H164" t="str">
        <f>IF(Table1[[#This Row],[Exam Score]]&gt;75,"Pass","Fail")</f>
        <v>Fail</v>
      </c>
    </row>
    <row r="165" spans="1:8" x14ac:dyDescent="0.3">
      <c r="A165" s="1" t="s">
        <v>306</v>
      </c>
      <c r="B165" s="1" t="s">
        <v>297</v>
      </c>
      <c r="C165" s="1" t="s">
        <v>16</v>
      </c>
      <c r="D165" s="1">
        <v>18</v>
      </c>
      <c r="E165" s="1" t="s">
        <v>10</v>
      </c>
      <c r="F165" s="1">
        <v>86</v>
      </c>
      <c r="G165" s="1">
        <v>100</v>
      </c>
      <c r="H165" t="str">
        <f>IF(Table1[[#This Row],[Exam Score]]&gt;75,"Pass","Fail")</f>
        <v>Pass</v>
      </c>
    </row>
    <row r="166" spans="1:8" x14ac:dyDescent="0.3">
      <c r="A166" s="1" t="s">
        <v>307</v>
      </c>
      <c r="B166" s="1" t="s">
        <v>308</v>
      </c>
      <c r="C166" s="1" t="s">
        <v>16</v>
      </c>
      <c r="D166" s="1">
        <v>22</v>
      </c>
      <c r="E166" s="1" t="s">
        <v>24</v>
      </c>
      <c r="F166" s="1">
        <v>54</v>
      </c>
      <c r="G166" s="1">
        <v>89</v>
      </c>
      <c r="H166" t="str">
        <f>IF(Table1[[#This Row],[Exam Score]]&gt;75,"Pass","Fail")</f>
        <v>Fail</v>
      </c>
    </row>
    <row r="167" spans="1:8" x14ac:dyDescent="0.3">
      <c r="A167" s="1" t="s">
        <v>309</v>
      </c>
      <c r="B167" s="1" t="s">
        <v>310</v>
      </c>
      <c r="C167" s="1" t="s">
        <v>9</v>
      </c>
      <c r="D167" s="1">
        <v>20</v>
      </c>
      <c r="E167" s="1" t="s">
        <v>10</v>
      </c>
      <c r="F167" s="1">
        <v>74</v>
      </c>
      <c r="G167" s="1">
        <v>77</v>
      </c>
      <c r="H167" t="str">
        <f>IF(Table1[[#This Row],[Exam Score]]&gt;75,"Pass","Fail")</f>
        <v>Fail</v>
      </c>
    </row>
    <row r="168" spans="1:8" x14ac:dyDescent="0.3">
      <c r="A168" s="1" t="s">
        <v>311</v>
      </c>
      <c r="B168" s="1" t="s">
        <v>312</v>
      </c>
      <c r="C168" s="1" t="s">
        <v>16</v>
      </c>
      <c r="D168" s="1">
        <v>22</v>
      </c>
      <c r="E168" s="1" t="s">
        <v>13</v>
      </c>
      <c r="F168" s="1">
        <v>81</v>
      </c>
      <c r="G168" s="1">
        <v>62</v>
      </c>
      <c r="H168" t="str">
        <f>IF(Table1[[#This Row],[Exam Score]]&gt;75,"Pass","Fail")</f>
        <v>Pass</v>
      </c>
    </row>
    <row r="169" spans="1:8" x14ac:dyDescent="0.3">
      <c r="A169" s="1" t="s">
        <v>313</v>
      </c>
      <c r="B169" s="1" t="s">
        <v>314</v>
      </c>
      <c r="C169" s="1" t="s">
        <v>9</v>
      </c>
      <c r="D169" s="1">
        <v>18</v>
      </c>
      <c r="E169" s="1" t="s">
        <v>24</v>
      </c>
      <c r="F169" s="1">
        <v>98</v>
      </c>
      <c r="G169" s="1">
        <v>75</v>
      </c>
      <c r="H169" t="str">
        <f>IF(Table1[[#This Row],[Exam Score]]&gt;75,"Pass","Fail")</f>
        <v>Pass</v>
      </c>
    </row>
    <row r="170" spans="1:8" x14ac:dyDescent="0.3">
      <c r="A170" s="1" t="s">
        <v>315</v>
      </c>
      <c r="B170" s="1" t="s">
        <v>316</v>
      </c>
      <c r="C170" s="1" t="s">
        <v>9</v>
      </c>
      <c r="D170" s="1">
        <v>21</v>
      </c>
      <c r="E170" s="1" t="s">
        <v>13</v>
      </c>
      <c r="F170" s="1">
        <v>85</v>
      </c>
      <c r="G170" s="1">
        <v>76</v>
      </c>
      <c r="H170" t="str">
        <f>IF(Table1[[#This Row],[Exam Score]]&gt;75,"Pass","Fail")</f>
        <v>Pass</v>
      </c>
    </row>
    <row r="171" spans="1:8" x14ac:dyDescent="0.3">
      <c r="A171" s="1" t="s">
        <v>317</v>
      </c>
      <c r="B171" s="1" t="s">
        <v>318</v>
      </c>
      <c r="C171" s="1" t="s">
        <v>9</v>
      </c>
      <c r="D171" s="1">
        <v>19</v>
      </c>
      <c r="E171" s="1" t="s">
        <v>17</v>
      </c>
      <c r="F171" s="1">
        <v>50</v>
      </c>
      <c r="G171" s="1">
        <v>91</v>
      </c>
      <c r="H171" t="str">
        <f>IF(Table1[[#This Row],[Exam Score]]&gt;75,"Pass","Fail")</f>
        <v>Fail</v>
      </c>
    </row>
    <row r="172" spans="1:8" x14ac:dyDescent="0.3">
      <c r="A172" s="1" t="s">
        <v>319</v>
      </c>
      <c r="B172" s="1" t="s">
        <v>64</v>
      </c>
      <c r="C172" s="1" t="s">
        <v>9</v>
      </c>
      <c r="D172" s="1">
        <v>20</v>
      </c>
      <c r="E172" s="1" t="s">
        <v>24</v>
      </c>
      <c r="F172" s="1">
        <v>94</v>
      </c>
      <c r="G172" s="1">
        <v>97</v>
      </c>
      <c r="H172" t="str">
        <f>IF(Table1[[#This Row],[Exam Score]]&gt;75,"Pass","Fail")</f>
        <v>Pass</v>
      </c>
    </row>
    <row r="173" spans="1:8" x14ac:dyDescent="0.3">
      <c r="A173" s="1" t="s">
        <v>320</v>
      </c>
      <c r="B173" s="1" t="s">
        <v>321</v>
      </c>
      <c r="C173" s="1" t="s">
        <v>9</v>
      </c>
      <c r="D173" s="1">
        <v>18</v>
      </c>
      <c r="E173" s="1" t="s">
        <v>24</v>
      </c>
      <c r="F173" s="1">
        <v>65</v>
      </c>
      <c r="G173" s="1">
        <v>93</v>
      </c>
      <c r="H173" t="str">
        <f>IF(Table1[[#This Row],[Exam Score]]&gt;75,"Pass","Fail")</f>
        <v>Fail</v>
      </c>
    </row>
    <row r="174" spans="1:8" x14ac:dyDescent="0.3">
      <c r="A174" s="1" t="s">
        <v>322</v>
      </c>
      <c r="B174" s="1" t="s">
        <v>323</v>
      </c>
      <c r="C174" s="1" t="s">
        <v>9</v>
      </c>
      <c r="D174" s="1">
        <v>21</v>
      </c>
      <c r="E174" s="1" t="s">
        <v>24</v>
      </c>
      <c r="F174" s="1">
        <v>47</v>
      </c>
      <c r="G174" s="1">
        <v>92</v>
      </c>
      <c r="H174" t="str">
        <f>IF(Table1[[#This Row],[Exam Score]]&gt;75,"Pass","Fail")</f>
        <v>Fail</v>
      </c>
    </row>
    <row r="175" spans="1:8" x14ac:dyDescent="0.3">
      <c r="A175" s="1" t="s">
        <v>324</v>
      </c>
      <c r="B175" s="1" t="s">
        <v>325</v>
      </c>
      <c r="C175" s="1" t="s">
        <v>9</v>
      </c>
      <c r="D175" s="1">
        <v>22</v>
      </c>
      <c r="E175" s="1" t="s">
        <v>13</v>
      </c>
      <c r="F175" s="1">
        <v>96</v>
      </c>
      <c r="G175" s="1">
        <v>84</v>
      </c>
      <c r="H175" t="str">
        <f>IF(Table1[[#This Row],[Exam Score]]&gt;75,"Pass","Fail")</f>
        <v>Pass</v>
      </c>
    </row>
    <row r="176" spans="1:8" x14ac:dyDescent="0.3">
      <c r="A176" s="1" t="s">
        <v>326</v>
      </c>
      <c r="B176" s="1" t="s">
        <v>40</v>
      </c>
      <c r="C176" s="1" t="s">
        <v>9</v>
      </c>
      <c r="D176" s="1">
        <v>20</v>
      </c>
      <c r="E176" s="1" t="s">
        <v>13</v>
      </c>
      <c r="F176" s="1">
        <v>47</v>
      </c>
      <c r="G176" s="1">
        <v>95</v>
      </c>
      <c r="H176" t="str">
        <f>IF(Table1[[#This Row],[Exam Score]]&gt;75,"Pass","Fail")</f>
        <v>Fail</v>
      </c>
    </row>
    <row r="177" spans="1:8" x14ac:dyDescent="0.3">
      <c r="A177" s="1" t="s">
        <v>327</v>
      </c>
      <c r="B177" s="1" t="s">
        <v>328</v>
      </c>
      <c r="C177" s="1" t="s">
        <v>9</v>
      </c>
      <c r="D177" s="1">
        <v>19</v>
      </c>
      <c r="E177" s="1" t="s">
        <v>17</v>
      </c>
      <c r="F177" s="1">
        <v>91</v>
      </c>
      <c r="G177" s="1">
        <v>89</v>
      </c>
      <c r="H177" t="str">
        <f>IF(Table1[[#This Row],[Exam Score]]&gt;75,"Pass","Fail")</f>
        <v>Pass</v>
      </c>
    </row>
    <row r="178" spans="1:8" x14ac:dyDescent="0.3">
      <c r="A178" s="1" t="s">
        <v>329</v>
      </c>
      <c r="B178" s="1" t="s">
        <v>330</v>
      </c>
      <c r="C178" s="1" t="s">
        <v>9</v>
      </c>
      <c r="D178" s="1">
        <v>19</v>
      </c>
      <c r="E178" s="1" t="s">
        <v>17</v>
      </c>
      <c r="F178" s="1">
        <v>96</v>
      </c>
      <c r="G178" s="1">
        <v>98</v>
      </c>
      <c r="H178" t="str">
        <f>IF(Table1[[#This Row],[Exam Score]]&gt;75,"Pass","Fail")</f>
        <v>Pass</v>
      </c>
    </row>
    <row r="179" spans="1:8" x14ac:dyDescent="0.3">
      <c r="A179" s="1" t="s">
        <v>331</v>
      </c>
      <c r="B179" s="1" t="s">
        <v>126</v>
      </c>
      <c r="C179" s="1" t="s">
        <v>9</v>
      </c>
      <c r="D179" s="1">
        <v>20</v>
      </c>
      <c r="E179" s="1" t="s">
        <v>24</v>
      </c>
      <c r="F179" s="1">
        <v>92</v>
      </c>
      <c r="G179" s="1">
        <v>64</v>
      </c>
      <c r="H179" t="str">
        <f>IF(Table1[[#This Row],[Exam Score]]&gt;75,"Pass","Fail")</f>
        <v>Pass</v>
      </c>
    </row>
    <row r="180" spans="1:8" x14ac:dyDescent="0.3">
      <c r="A180" s="1" t="s">
        <v>332</v>
      </c>
      <c r="B180" s="1" t="s">
        <v>44</v>
      </c>
      <c r="C180" s="1" t="s">
        <v>16</v>
      </c>
      <c r="D180" s="1">
        <v>19</v>
      </c>
      <c r="E180" s="1" t="s">
        <v>24</v>
      </c>
      <c r="F180" s="1">
        <v>79</v>
      </c>
      <c r="G180" s="1">
        <v>61</v>
      </c>
      <c r="H180" t="str">
        <f>IF(Table1[[#This Row],[Exam Score]]&gt;75,"Pass","Fail")</f>
        <v>Pass</v>
      </c>
    </row>
    <row r="181" spans="1:8" x14ac:dyDescent="0.3">
      <c r="A181" s="1" t="s">
        <v>333</v>
      </c>
      <c r="B181" s="1" t="s">
        <v>334</v>
      </c>
      <c r="C181" s="1" t="s">
        <v>9</v>
      </c>
      <c r="D181" s="1">
        <v>22</v>
      </c>
      <c r="E181" s="1" t="s">
        <v>17</v>
      </c>
      <c r="F181" s="1">
        <v>61</v>
      </c>
      <c r="G181" s="1">
        <v>80</v>
      </c>
      <c r="H181" t="str">
        <f>IF(Table1[[#This Row],[Exam Score]]&gt;75,"Pass","Fail")</f>
        <v>Fail</v>
      </c>
    </row>
    <row r="182" spans="1:8" x14ac:dyDescent="0.3">
      <c r="A182" s="1" t="s">
        <v>335</v>
      </c>
      <c r="B182" s="1" t="s">
        <v>159</v>
      </c>
      <c r="C182" s="1" t="s">
        <v>9</v>
      </c>
      <c r="D182" s="1">
        <v>21</v>
      </c>
      <c r="E182" s="1" t="s">
        <v>24</v>
      </c>
      <c r="F182" s="1">
        <v>53</v>
      </c>
      <c r="G182" s="1">
        <v>94</v>
      </c>
      <c r="H182" t="str">
        <f>IF(Table1[[#This Row],[Exam Score]]&gt;75,"Pass","Fail")</f>
        <v>Fail</v>
      </c>
    </row>
    <row r="183" spans="1:8" x14ac:dyDescent="0.3">
      <c r="A183" s="1" t="s">
        <v>336</v>
      </c>
      <c r="B183" s="1" t="s">
        <v>337</v>
      </c>
      <c r="C183" s="1" t="s">
        <v>9</v>
      </c>
      <c r="D183" s="1">
        <v>18</v>
      </c>
      <c r="E183" s="1" t="s">
        <v>17</v>
      </c>
      <c r="F183" s="1">
        <v>63</v>
      </c>
      <c r="G183" s="1">
        <v>73</v>
      </c>
      <c r="H183" t="str">
        <f>IF(Table1[[#This Row],[Exam Score]]&gt;75,"Pass","Fail")</f>
        <v>Fail</v>
      </c>
    </row>
    <row r="184" spans="1:8" x14ac:dyDescent="0.3">
      <c r="A184" s="1" t="s">
        <v>338</v>
      </c>
      <c r="B184" s="1" t="s">
        <v>339</v>
      </c>
      <c r="C184" s="1" t="s">
        <v>16</v>
      </c>
      <c r="D184" s="1">
        <v>21</v>
      </c>
      <c r="E184" s="1" t="s">
        <v>10</v>
      </c>
      <c r="F184" s="1">
        <v>46</v>
      </c>
      <c r="G184" s="1">
        <v>82</v>
      </c>
      <c r="H184" t="str">
        <f>IF(Table1[[#This Row],[Exam Score]]&gt;75,"Pass","Fail")</f>
        <v>Fail</v>
      </c>
    </row>
    <row r="185" spans="1:8" x14ac:dyDescent="0.3">
      <c r="A185" s="1" t="s">
        <v>340</v>
      </c>
      <c r="B185" s="1" t="s">
        <v>341</v>
      </c>
      <c r="C185" s="1" t="s">
        <v>9</v>
      </c>
      <c r="D185" s="1">
        <v>20</v>
      </c>
      <c r="E185" s="1" t="s">
        <v>10</v>
      </c>
      <c r="F185" s="1">
        <v>59</v>
      </c>
      <c r="G185" s="1">
        <v>62</v>
      </c>
      <c r="H185" t="str">
        <f>IF(Table1[[#This Row],[Exam Score]]&gt;75,"Pass","Fail")</f>
        <v>Fail</v>
      </c>
    </row>
    <row r="186" spans="1:8" x14ac:dyDescent="0.3">
      <c r="A186" s="1" t="s">
        <v>342</v>
      </c>
      <c r="B186" s="1" t="s">
        <v>163</v>
      </c>
      <c r="C186" s="1" t="s">
        <v>16</v>
      </c>
      <c r="D186" s="1">
        <v>21</v>
      </c>
      <c r="E186" s="1" t="s">
        <v>17</v>
      </c>
      <c r="F186" s="1">
        <v>51</v>
      </c>
      <c r="G186" s="1">
        <v>87</v>
      </c>
      <c r="H186" t="str">
        <f>IF(Table1[[#This Row],[Exam Score]]&gt;75,"Pass","Fail")</f>
        <v>Fail</v>
      </c>
    </row>
    <row r="187" spans="1:8" x14ac:dyDescent="0.3">
      <c r="A187" s="1" t="s">
        <v>343</v>
      </c>
      <c r="B187" s="1" t="s">
        <v>344</v>
      </c>
      <c r="C187" s="1" t="s">
        <v>9</v>
      </c>
      <c r="D187" s="1">
        <v>19</v>
      </c>
      <c r="E187" s="1" t="s">
        <v>17</v>
      </c>
      <c r="F187" s="1">
        <v>82</v>
      </c>
      <c r="G187" s="1">
        <v>68</v>
      </c>
      <c r="H187" t="str">
        <f>IF(Table1[[#This Row],[Exam Score]]&gt;75,"Pass","Fail")</f>
        <v>Pass</v>
      </c>
    </row>
    <row r="188" spans="1:8" x14ac:dyDescent="0.3">
      <c r="A188" s="1" t="s">
        <v>345</v>
      </c>
      <c r="B188" s="1" t="s">
        <v>346</v>
      </c>
      <c r="C188" s="1" t="s">
        <v>16</v>
      </c>
      <c r="D188" s="1">
        <v>22</v>
      </c>
      <c r="E188" s="1" t="s">
        <v>13</v>
      </c>
      <c r="F188" s="1">
        <v>69</v>
      </c>
      <c r="G188" s="1">
        <v>87</v>
      </c>
      <c r="H188" t="str">
        <f>IF(Table1[[#This Row],[Exam Score]]&gt;75,"Pass","Fail")</f>
        <v>Fail</v>
      </c>
    </row>
    <row r="189" spans="1:8" x14ac:dyDescent="0.3">
      <c r="A189" s="1" t="s">
        <v>347</v>
      </c>
      <c r="B189" s="1" t="s">
        <v>348</v>
      </c>
      <c r="C189" s="1" t="s">
        <v>16</v>
      </c>
      <c r="D189" s="1">
        <v>19</v>
      </c>
      <c r="E189" s="1" t="s">
        <v>10</v>
      </c>
      <c r="F189" s="1">
        <v>94</v>
      </c>
      <c r="G189" s="1">
        <v>87</v>
      </c>
      <c r="H189" t="str">
        <f>IF(Table1[[#This Row],[Exam Score]]&gt;75,"Pass","Fail")</f>
        <v>Pass</v>
      </c>
    </row>
    <row r="190" spans="1:8" x14ac:dyDescent="0.3">
      <c r="A190" s="1" t="s">
        <v>349</v>
      </c>
      <c r="B190" s="1" t="s">
        <v>350</v>
      </c>
      <c r="C190" s="1" t="s">
        <v>16</v>
      </c>
      <c r="D190" s="1">
        <v>18</v>
      </c>
      <c r="E190" s="1" t="s">
        <v>13</v>
      </c>
      <c r="F190" s="1">
        <v>86</v>
      </c>
      <c r="G190" s="1">
        <v>94</v>
      </c>
      <c r="H190" t="str">
        <f>IF(Table1[[#This Row],[Exam Score]]&gt;75,"Pass","Fail")</f>
        <v>Pass</v>
      </c>
    </row>
    <row r="191" spans="1:8" x14ac:dyDescent="0.3">
      <c r="A191" s="1" t="s">
        <v>351</v>
      </c>
      <c r="B191" s="1" t="s">
        <v>352</v>
      </c>
      <c r="C191" s="1" t="s">
        <v>9</v>
      </c>
      <c r="D191" s="1">
        <v>22</v>
      </c>
      <c r="E191" s="1" t="s">
        <v>17</v>
      </c>
      <c r="F191" s="1">
        <v>77</v>
      </c>
      <c r="G191" s="1">
        <v>76</v>
      </c>
      <c r="H191" t="str">
        <f>IF(Table1[[#This Row],[Exam Score]]&gt;75,"Pass","Fail")</f>
        <v>Pass</v>
      </c>
    </row>
    <row r="192" spans="1:8" x14ac:dyDescent="0.3">
      <c r="A192" s="1" t="s">
        <v>353</v>
      </c>
      <c r="B192" s="1" t="s">
        <v>354</v>
      </c>
      <c r="C192" s="1" t="s">
        <v>16</v>
      </c>
      <c r="D192" s="1">
        <v>22</v>
      </c>
      <c r="E192" s="1" t="s">
        <v>13</v>
      </c>
      <c r="F192" s="1">
        <v>76</v>
      </c>
      <c r="G192" s="1">
        <v>61</v>
      </c>
      <c r="H192" t="str">
        <f>IF(Table1[[#This Row],[Exam Score]]&gt;75,"Pass","Fail")</f>
        <v>Pass</v>
      </c>
    </row>
    <row r="193" spans="1:8" x14ac:dyDescent="0.3">
      <c r="A193" s="1" t="s">
        <v>355</v>
      </c>
      <c r="B193" s="1" t="s">
        <v>356</v>
      </c>
      <c r="C193" s="1" t="s">
        <v>16</v>
      </c>
      <c r="D193" s="1">
        <v>18</v>
      </c>
      <c r="E193" s="1" t="s">
        <v>24</v>
      </c>
      <c r="F193" s="1">
        <v>88</v>
      </c>
      <c r="G193" s="1">
        <v>69</v>
      </c>
      <c r="H193" t="str">
        <f>IF(Table1[[#This Row],[Exam Score]]&gt;75,"Pass","Fail")</f>
        <v>Pass</v>
      </c>
    </row>
    <row r="194" spans="1:8" x14ac:dyDescent="0.3">
      <c r="A194" s="1" t="s">
        <v>357</v>
      </c>
      <c r="B194" s="1" t="s">
        <v>358</v>
      </c>
      <c r="C194" s="1" t="s">
        <v>9</v>
      </c>
      <c r="D194" s="1">
        <v>20</v>
      </c>
      <c r="E194" s="1" t="s">
        <v>13</v>
      </c>
      <c r="F194" s="1">
        <v>84</v>
      </c>
      <c r="G194" s="1">
        <v>70</v>
      </c>
      <c r="H194" t="str">
        <f>IF(Table1[[#This Row],[Exam Score]]&gt;75,"Pass","Fail")</f>
        <v>Pass</v>
      </c>
    </row>
    <row r="195" spans="1:8" x14ac:dyDescent="0.3">
      <c r="A195" s="1" t="s">
        <v>359</v>
      </c>
      <c r="B195" s="1" t="s">
        <v>19</v>
      </c>
      <c r="C195" s="1" t="s">
        <v>9</v>
      </c>
      <c r="D195" s="1">
        <v>18</v>
      </c>
      <c r="E195" s="1" t="s">
        <v>17</v>
      </c>
      <c r="F195" s="1">
        <v>68</v>
      </c>
      <c r="G195" s="1">
        <v>66</v>
      </c>
      <c r="H195" t="str">
        <f>IF(Table1[[#This Row],[Exam Score]]&gt;75,"Pass","Fail")</f>
        <v>Fail</v>
      </c>
    </row>
    <row r="196" spans="1:8" x14ac:dyDescent="0.3">
      <c r="A196" s="1" t="s">
        <v>360</v>
      </c>
      <c r="B196" s="1" t="s">
        <v>21</v>
      </c>
      <c r="C196" s="1" t="s">
        <v>9</v>
      </c>
      <c r="D196" s="1">
        <v>21</v>
      </c>
      <c r="E196" s="1" t="s">
        <v>10</v>
      </c>
      <c r="F196" s="1">
        <v>61</v>
      </c>
      <c r="G196" s="1">
        <v>75</v>
      </c>
      <c r="H196" t="str">
        <f>IF(Table1[[#This Row],[Exam Score]]&gt;75,"Pass","Fail")</f>
        <v>Fail</v>
      </c>
    </row>
    <row r="197" spans="1:8" x14ac:dyDescent="0.3">
      <c r="A197" s="1" t="s">
        <v>361</v>
      </c>
      <c r="B197" s="1" t="s">
        <v>362</v>
      </c>
      <c r="C197" s="1" t="s">
        <v>16</v>
      </c>
      <c r="D197" s="1">
        <v>18</v>
      </c>
      <c r="E197" s="1" t="s">
        <v>13</v>
      </c>
      <c r="F197" s="1">
        <v>60</v>
      </c>
      <c r="G197" s="1">
        <v>90</v>
      </c>
      <c r="H197" t="str">
        <f>IF(Table1[[#This Row],[Exam Score]]&gt;75,"Pass","Fail")</f>
        <v>Fail</v>
      </c>
    </row>
    <row r="198" spans="1:8" x14ac:dyDescent="0.3">
      <c r="A198" s="1" t="s">
        <v>363</v>
      </c>
      <c r="B198" s="1" t="s">
        <v>364</v>
      </c>
      <c r="C198" s="1" t="s">
        <v>16</v>
      </c>
      <c r="D198" s="1">
        <v>21</v>
      </c>
      <c r="E198" s="1" t="s">
        <v>13</v>
      </c>
      <c r="F198" s="1">
        <v>86</v>
      </c>
      <c r="G198" s="1">
        <v>73</v>
      </c>
      <c r="H198" t="str">
        <f>IF(Table1[[#This Row],[Exam Score]]&gt;75,"Pass","Fail")</f>
        <v>Pass</v>
      </c>
    </row>
    <row r="199" spans="1:8" x14ac:dyDescent="0.3">
      <c r="A199" s="1" t="s">
        <v>365</v>
      </c>
      <c r="B199" s="1" t="s">
        <v>352</v>
      </c>
      <c r="C199" s="1" t="s">
        <v>9</v>
      </c>
      <c r="D199" s="1">
        <v>19</v>
      </c>
      <c r="E199" s="1" t="s">
        <v>13</v>
      </c>
      <c r="F199" s="1">
        <v>78</v>
      </c>
      <c r="G199" s="1">
        <v>60</v>
      </c>
      <c r="H199" t="str">
        <f>IF(Table1[[#This Row],[Exam Score]]&gt;75,"Pass","Fail")</f>
        <v>Pass</v>
      </c>
    </row>
    <row r="200" spans="1:8" x14ac:dyDescent="0.3">
      <c r="A200" s="1" t="s">
        <v>366</v>
      </c>
      <c r="B200" s="1" t="s">
        <v>367</v>
      </c>
      <c r="C200" s="1" t="s">
        <v>9</v>
      </c>
      <c r="D200" s="1">
        <v>20</v>
      </c>
      <c r="E200" s="1" t="s">
        <v>10</v>
      </c>
      <c r="F200" s="1">
        <v>46</v>
      </c>
      <c r="G200" s="1">
        <v>75</v>
      </c>
      <c r="H200" t="str">
        <f>IF(Table1[[#This Row],[Exam Score]]&gt;75,"Pass","Fail")</f>
        <v>Fail</v>
      </c>
    </row>
    <row r="201" spans="1:8" x14ac:dyDescent="0.3">
      <c r="A201" s="1" t="s">
        <v>368</v>
      </c>
      <c r="B201" s="1" t="s">
        <v>369</v>
      </c>
      <c r="C201" s="1" t="s">
        <v>16</v>
      </c>
      <c r="D201" s="1">
        <v>18</v>
      </c>
      <c r="E201" s="1" t="s">
        <v>17</v>
      </c>
      <c r="F201" s="1">
        <v>71</v>
      </c>
      <c r="G201" s="1">
        <v>74</v>
      </c>
      <c r="H201" t="str">
        <f>IF(Table1[[#This Row],[Exam Score]]&gt;75,"Pass","Fail")</f>
        <v>Fail</v>
      </c>
    </row>
  </sheetData>
  <mergeCells count="1">
    <mergeCell ref="J1:S2"/>
  </mergeCells>
  <conditionalFormatting sqref="F2:F201">
    <cfRule type="cellIs" dxfId="0" priority="6" operator="greaterThan">
      <formula>75</formula>
    </cfRule>
  </conditionalFormatting>
  <pageMargins left="0.7" right="0.7" top="0.75" bottom="0.75" header="0.3" footer="0.3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A8F8-331A-4630-B920-10832730E00C}">
  <sheetPr>
    <pageSetUpPr fitToPage="1"/>
  </sheetPr>
  <dimension ref="A1:N15"/>
  <sheetViews>
    <sheetView tabSelected="1" zoomScale="130" zoomScaleNormal="130" workbookViewId="0">
      <selection activeCell="I19" sqref="I19"/>
    </sheetView>
  </sheetViews>
  <sheetFormatPr defaultRowHeight="14.4" x14ac:dyDescent="0.3"/>
  <cols>
    <col min="1" max="1" width="19.21875" customWidth="1"/>
    <col min="2" max="2" width="23.44140625" customWidth="1"/>
  </cols>
  <sheetData>
    <row r="1" spans="1:14" ht="29.4" customHeight="1" x14ac:dyDescent="0.3">
      <c r="A1" s="18" t="s">
        <v>384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4" s="1" customFormat="1" ht="16.8" customHeight="1" x14ac:dyDescent="0.3">
      <c r="A2" s="15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4" s="1" customFormat="1" ht="17.399999999999999" customHeight="1" x14ac:dyDescent="0.3">
      <c r="A3" s="15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4" s="1" customFormat="1" ht="21.6" customHeight="1" x14ac:dyDescent="0.3">
      <c r="A4" s="15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4" ht="15.6" x14ac:dyDescent="0.3">
      <c r="A5" s="14"/>
      <c r="B5" s="14"/>
      <c r="C5" s="1"/>
      <c r="D5" s="1"/>
      <c r="E5" s="1"/>
      <c r="F5" s="1"/>
      <c r="G5" s="1"/>
      <c r="H5" s="1"/>
      <c r="I5" s="1"/>
      <c r="J5" s="1"/>
      <c r="K5" s="1"/>
    </row>
    <row r="6" spans="1:14" x14ac:dyDescent="0.3">
      <c r="A6" s="16"/>
      <c r="B6" s="17"/>
    </row>
    <row r="7" spans="1:14" x14ac:dyDescent="0.3">
      <c r="A7" s="16"/>
      <c r="B7" s="3"/>
    </row>
    <row r="8" spans="1:14" x14ac:dyDescent="0.3">
      <c r="A8" s="16"/>
      <c r="B8" s="3"/>
    </row>
    <row r="9" spans="1:14" x14ac:dyDescent="0.3">
      <c r="A9" s="16"/>
      <c r="B9" s="3"/>
    </row>
    <row r="10" spans="1:14" x14ac:dyDescent="0.3">
      <c r="A10" s="16"/>
      <c r="B10" s="3"/>
    </row>
    <row r="11" spans="1:14" x14ac:dyDescent="0.3">
      <c r="A11" s="16"/>
      <c r="B11" s="3"/>
    </row>
    <row r="12" spans="1:14" x14ac:dyDescent="0.3">
      <c r="A12" s="1"/>
      <c r="B12" s="1"/>
    </row>
    <row r="13" spans="1:14" x14ac:dyDescent="0.3">
      <c r="A13" s="1"/>
      <c r="B13" s="1"/>
    </row>
    <row r="14" spans="1:14" x14ac:dyDescent="0.3">
      <c r="A14" s="1"/>
      <c r="B14" s="1"/>
    </row>
    <row r="15" spans="1:14" ht="25.8" x14ac:dyDescent="0.5">
      <c r="A15" s="1"/>
      <c r="B15" s="1"/>
      <c r="N15" s="13"/>
    </row>
  </sheetData>
  <mergeCells count="1">
    <mergeCell ref="A1:K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Sheet2</vt:lpstr>
      <vt:lpstr>Student Data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Kesara Lakpriya</dc:creator>
  <cp:lastModifiedBy>Kesara Lakpriya</cp:lastModifiedBy>
  <cp:lastPrinted>2026-06-25T09:43:04Z</cp:lastPrinted>
  <dcterms:created xsi:type="dcterms:W3CDTF">2026-06-25T07:34:00Z</dcterms:created>
  <dcterms:modified xsi:type="dcterms:W3CDTF">2026-06-25T09:45:11Z</dcterms:modified>
</cp:coreProperties>
</file>